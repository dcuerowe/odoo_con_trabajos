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Users/dacm/we/odoo_con_trabajos/"/>
    </mc:Choice>
  </mc:AlternateContent>
  <xr:revisionPtr revIDLastSave="0" documentId="13_ncr:1_{8404BAAD-10C3-6D47-A5E9-B80B28EE4ABC}" xr6:coauthVersionLast="47" xr6:coauthVersionMax="47" xr10:uidLastSave="{00000000-0000-0000-0000-000000000000}"/>
  <bookViews>
    <workbookView xWindow="-20" yWindow="600" windowWidth="33600" windowHeight="20400" activeTab="2" xr2:uid="{00000000-000D-0000-FFFF-FFFF00000000}"/>
  </bookViews>
  <sheets>
    <sheet name="reclasifiación ST" sheetId="1" r:id="rId1"/>
    <sheet name="Resumen" sheetId="2" r:id="rId2"/>
    <sheet name="Definiciones" sheetId="3" r:id="rId3"/>
  </sheets>
  <definedNames>
    <definedName name="_xlnm._FilterDatabase" localSheetId="0" hidden="1">'reclasifiación ST'!$A$1:$K$234</definedName>
  </definedNames>
  <calcPr calcId="191029"/>
  <pivotCaches>
    <pivotCache cacheId="2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4" i="1"/>
  <c r="B15" i="1"/>
  <c r="B16" i="1"/>
  <c r="B17" i="1"/>
  <c r="B18" i="1"/>
  <c r="B19" i="1"/>
  <c r="B20" i="1"/>
  <c r="B21" i="1"/>
  <c r="B22" i="1"/>
  <c r="B23" i="1"/>
  <c r="B24" i="1"/>
  <c r="B25" i="1"/>
  <c r="B26" i="1"/>
  <c r="B27" i="1"/>
  <c r="B28" i="1"/>
  <c r="B29" i="1"/>
  <c r="B35" i="1"/>
  <c r="B36" i="1"/>
  <c r="B37" i="1"/>
  <c r="B38" i="1"/>
  <c r="B39" i="1"/>
  <c r="B40" i="1"/>
  <c r="B41" i="1"/>
  <c r="B42" i="1"/>
  <c r="B33" i="1"/>
  <c r="B34" i="1"/>
  <c r="B30" i="1"/>
  <c r="B31" i="1"/>
  <c r="B32" i="1"/>
  <c r="B43" i="1"/>
  <c r="B44" i="1"/>
  <c r="B45" i="1"/>
  <c r="B46" i="1"/>
  <c r="B47" i="1"/>
  <c r="B48" i="1"/>
  <c r="B49" i="1"/>
  <c r="B50" i="1"/>
  <c r="B2" i="1"/>
  <c r="B3"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4" i="1"/>
  <c r="B5" i="1"/>
  <c r="B164" i="1"/>
  <c r="B165" i="1"/>
  <c r="B166" i="1"/>
  <c r="B167" i="1"/>
  <c r="B168" i="1"/>
  <c r="B169" i="1"/>
  <c r="B171" i="1"/>
  <c r="B173" i="1"/>
  <c r="B174" i="1"/>
  <c r="B175" i="1"/>
  <c r="B176" i="1"/>
  <c r="B177" i="1"/>
  <c r="B178" i="1"/>
  <c r="B172" i="1"/>
  <c r="B179" i="1"/>
  <c r="B180" i="1"/>
  <c r="B181" i="1"/>
  <c r="B182" i="1"/>
  <c r="B183" i="1"/>
  <c r="B184" i="1"/>
  <c r="B170" i="1"/>
  <c r="B187" i="1"/>
  <c r="B188" i="1"/>
  <c r="B189" i="1"/>
  <c r="B190" i="1"/>
  <c r="B191" i="1"/>
  <c r="B192" i="1"/>
  <c r="B193" i="1"/>
  <c r="B194" i="1"/>
  <c r="B195" i="1"/>
  <c r="B196" i="1"/>
  <c r="B197" i="1"/>
  <c r="B198" i="1"/>
  <c r="B199" i="1"/>
  <c r="B200" i="1"/>
  <c r="B201" i="1"/>
  <c r="B204" i="1"/>
  <c r="B205" i="1"/>
  <c r="B206" i="1"/>
  <c r="B207" i="1"/>
  <c r="B202" i="1"/>
  <c r="B185" i="1"/>
  <c r="B186" i="1"/>
  <c r="B203" i="1"/>
  <c r="B208" i="1"/>
  <c r="B209" i="1"/>
  <c r="B210" i="1"/>
  <c r="B211" i="1"/>
  <c r="B212" i="1"/>
  <c r="B213" i="1"/>
  <c r="B214" i="1"/>
  <c r="B215" i="1"/>
  <c r="B216" i="1"/>
  <c r="B217" i="1"/>
  <c r="B218" i="1"/>
  <c r="B219" i="1"/>
  <c r="B220" i="1"/>
  <c r="B225" i="1"/>
  <c r="B223" i="1"/>
  <c r="B224" i="1"/>
  <c r="B226" i="1"/>
  <c r="B227" i="1"/>
  <c r="B221" i="1"/>
  <c r="B222" i="1"/>
  <c r="B228" i="1"/>
  <c r="B229" i="1"/>
  <c r="B230" i="1"/>
  <c r="B6" i="1"/>
  <c r="B7" i="1"/>
  <c r="B8" i="1"/>
  <c r="B9" i="1"/>
  <c r="B10" i="1"/>
  <c r="B11" i="1"/>
  <c r="B231" i="1"/>
  <c r="B232" i="1"/>
  <c r="B233" i="1"/>
  <c r="B234" i="1"/>
  <c r="B12" i="1"/>
</calcChain>
</file>

<file path=xl/sharedStrings.xml><?xml version="1.0" encoding="utf-8"?>
<sst xmlns="http://schemas.openxmlformats.org/spreadsheetml/2006/main" count="1909" uniqueCount="469">
  <si>
    <t>OT</t>
  </si>
  <si>
    <t>Técnico</t>
  </si>
  <si>
    <t>Proyecto</t>
  </si>
  <si>
    <t>Asset</t>
  </si>
  <si>
    <t>Tipo de trabajo anterior</t>
  </si>
  <si>
    <t>Tipo de trabajo nuevo</t>
  </si>
  <si>
    <t>Causa visita</t>
  </si>
  <si>
    <t>Leonardo Gonzalez</t>
  </si>
  <si>
    <t xml:space="preserve">Gestión hidrica el soldado </t>
  </si>
  <si>
    <t>PI 17
PI 18
PI 19
PI 20</t>
  </si>
  <si>
    <t>ST</t>
  </si>
  <si>
    <t>MP</t>
  </si>
  <si>
    <t xml:space="preserve">Mantenimiento preventivo </t>
  </si>
  <si>
    <t>Gestión Hídrica El Soldado</t>
  </si>
  <si>
    <t>[Gestión Hídrica El Soldado] Zona Veta Blanca Nodo Piscina 4000</t>
  </si>
  <si>
    <t>SO</t>
  </si>
  <si>
    <t>[Gestión Hídrica El Soldado] Pozo Inyección Barrera Hidráulica PI7 Nodo B7</t>
  </si>
  <si>
    <t>[Gestión Hídrica El Soldado] PM-26 Nodo</t>
  </si>
  <si>
    <t>[Gestión Hídrica El Soldado] PM-6 Nodo 158</t>
  </si>
  <si>
    <t>P3a p3b y gateway ao1</t>
  </si>
  <si>
    <t>Elías Sanchez</t>
  </si>
  <si>
    <t>Los Bronces - Riecillos</t>
  </si>
  <si>
    <t>[Los Bronces - Riecillos] R2700 Caudalimetro B</t>
  </si>
  <si>
    <t xml:space="preserve">Verificación de lecturas en transmisores de caudalimetros no invasivos. </t>
  </si>
  <si>
    <t>[Los Bronces - Riecillos] R3050 Gateway</t>
  </si>
  <si>
    <t>MC</t>
  </si>
  <si>
    <t xml:space="preserve">Revisión de guardado de datos telemetria </t>
  </si>
  <si>
    <t>[Los Bronces - Riecillos] R3050 Caudalimetro C</t>
  </si>
  <si>
    <t>CF</t>
  </si>
  <si>
    <t>[Gestión Hídrica El Soldado] PM-30 Nodo</t>
  </si>
  <si>
    <t>[Gestión Hídrica El Soldado] PM-28C Nodo</t>
  </si>
  <si>
    <t>[Gestión Hídrica El Soldado] PM-1 Nodo B17</t>
  </si>
  <si>
    <t>[Gestión Hídrica El Soldado] PM-07 Gateway</t>
  </si>
  <si>
    <t>PM 28
PM 30
PM 07
PM 06
PM 26
PM 05</t>
  </si>
  <si>
    <t>Diego Marchant</t>
  </si>
  <si>
    <t>Gestión Hídrica El Soldado.</t>
  </si>
  <si>
    <t>Piscina UG a descarga Estero El Gallo</t>
  </si>
  <si>
    <t>Configuración de equipos</t>
  </si>
  <si>
    <t>[Gestión Hídrica El Soldado] Sector -300 Gateway</t>
  </si>
  <si>
    <t xml:space="preserve">Revisión sensores </t>
  </si>
  <si>
    <t>[Gestión Hídrica El Soldado] Lora Piscina 3800</t>
  </si>
  <si>
    <t>PEM 4
PEM 6
PEM 10
PEM 9
PEM 1 
PEM 2
PEM 3</t>
  </si>
  <si>
    <t>[Gestión Hídrica El Soldado] Pozo N° 3A (P3A) Nodo B1</t>
  </si>
  <si>
    <t xml:space="preserve">Cristopher Iglesias </t>
  </si>
  <si>
    <t>[Los Bronces - Riecillos] R2700 Gateway</t>
  </si>
  <si>
    <t>I</t>
  </si>
  <si>
    <t>Trabajos mejoramiento telemetría</t>
  </si>
  <si>
    <t>Camilo Sandoval</t>
  </si>
  <si>
    <t>Global Tórtolas</t>
  </si>
  <si>
    <t>[Global Tórtolas] Pozo BN3</t>
  </si>
  <si>
    <t>Instalacion sonda HL4</t>
  </si>
  <si>
    <t>[Gestión Hídrica El Soldado] Pozo Los Litres N° 01 (PLL-01) Nodo A12</t>
  </si>
  <si>
    <t xml:space="preserve">Revisión sensores de nivel </t>
  </si>
  <si>
    <t>[Gestión Hídrica El Soldado] Pozo Los Litres N° 02 (PLL-02) Nodo A13</t>
  </si>
  <si>
    <t>[Gestión Hídrica El Soldado] Pozo Los Litres N° 03 (PLL-03) Nodo 168</t>
  </si>
  <si>
    <t>[Gestión Hídrica El Soldado] Pozo Los Litres N° 04 (PLL-04) Nodo 169</t>
  </si>
  <si>
    <t>[Gestión Hídrica El Soldado] Pozo Los Litres N° 05 (PLL-05)</t>
  </si>
  <si>
    <t>[Gestión Hídrica El Soldado] Pozo Los Litres N° 06 (PLL-06) Nodo 154</t>
  </si>
  <si>
    <t xml:space="preserve">Trabajos mejoramiento telemetria </t>
  </si>
  <si>
    <t>Arranque BH TRET</t>
  </si>
  <si>
    <t>LT</t>
  </si>
  <si>
    <t>Solicitud cliente</t>
  </si>
  <si>
    <t>[Gestión Hídrica El Soldado] PM-3 Nodo B19</t>
  </si>
  <si>
    <t>[Gestión Hídrica El Soldado] PM-4 Nodo B20</t>
  </si>
  <si>
    <t>Descarga el gallo mina UG</t>
  </si>
  <si>
    <t xml:space="preserve">Configuraciones </t>
  </si>
  <si>
    <t>[Gestión Hídrica El Soldado] Pozo Inyección Barrera Hidráulica PI17</t>
  </si>
  <si>
    <t>[Gestión Hídrica El Soldado] Pozo Inyección Barrera Hidráulica PI20</t>
  </si>
  <si>
    <t>[Gestión Hídrica El Soldado] Pozo El Melón N° 02 (PEM-02) Gateway A</t>
  </si>
  <si>
    <t>[Gestión Hídrica El Soldado] Estero El Gallo</t>
  </si>
  <si>
    <t>[Gestión Hídrica El Soldado] Pozo El Melón N° 10 (PEM-10) Nodo A16</t>
  </si>
  <si>
    <t>[Gestión Hídrica El Soldado] Pozo El Melón N° 09 (PEM-09)</t>
  </si>
  <si>
    <t>[Los Bronces - Riecillos] R3050 Caudalimetro E</t>
  </si>
  <si>
    <t>Contrastación Caudalimetro E</t>
  </si>
  <si>
    <t xml:space="preserve">Mantenimiento correctivo telemetria </t>
  </si>
  <si>
    <t>[Gestión Hídrica El Soldado] PM-2 Nodo B18</t>
  </si>
  <si>
    <t>Casino el cobre</t>
  </si>
  <si>
    <t>Mantenimiento preventivo</t>
  </si>
  <si>
    <t>Mantnimiento correctivo R3050 y 2700</t>
  </si>
  <si>
    <t>Instalación RQ30 estero el gallo</t>
  </si>
  <si>
    <t>Mina UG estero el gallo</t>
  </si>
  <si>
    <t xml:space="preserve">Instalación y configuración </t>
  </si>
  <si>
    <t xml:space="preserve">Recursos hidricos el soldado </t>
  </si>
  <si>
    <t xml:space="preserve">Rebalse piscina UG-300 hacia estero el gallo </t>
  </si>
  <si>
    <t xml:space="preserve">Mantenimiento e instalación </t>
  </si>
  <si>
    <t xml:space="preserve">Túnel norte </t>
  </si>
  <si>
    <t xml:space="preserve">Mantenimiento preventivo e instalación </t>
  </si>
  <si>
    <t>Rebalse piscina UG a estero el gallo</t>
  </si>
  <si>
    <t xml:space="preserve">Recursos Hidricos el soldado </t>
  </si>
  <si>
    <t xml:space="preserve">Bodega de recursos hidricos </t>
  </si>
  <si>
    <t xml:space="preserve">BH TRET </t>
  </si>
  <si>
    <t xml:space="preserve">Mantenimiento preventivo y contrastacion </t>
  </si>
  <si>
    <t>[Gestión Hídrica El Soldado] Pozo Inyección Barrera Hidráulica T4</t>
  </si>
  <si>
    <t>Contrastación de cuadal</t>
  </si>
  <si>
    <t>Mantenimiento correctivo R3050 y 2700</t>
  </si>
  <si>
    <t xml:space="preserve">Levantamiento </t>
  </si>
  <si>
    <t>Caudalimetro no invasivo entrada 3800</t>
  </si>
  <si>
    <t xml:space="preserve">Piscina 3800 a TK convencional </t>
  </si>
  <si>
    <t>Piscina 3800 a RELE</t>
  </si>
  <si>
    <t>Revisión previa trabajos R3050 y 2700</t>
  </si>
  <si>
    <t>Piscina 4000</t>
  </si>
  <si>
    <t>Válvulas túnel UG</t>
  </si>
  <si>
    <t>[Gestión Hídrica El Soldado] Caudalimetro Portal de Arenas</t>
  </si>
  <si>
    <t xml:space="preserve">Pozos PM exterior </t>
  </si>
  <si>
    <t>[Gestión Hídrica El Soldado] Tranque 4</t>
  </si>
  <si>
    <t>[Gestión Hídrica El Soldado] Pozo Inyección Barrera Hidráulica PI19</t>
  </si>
  <si>
    <t>[Gestión Hídrica El Soldado] Pozo Inyección Barrera Hidráulica PI18</t>
  </si>
  <si>
    <t>David  Loncopan</t>
  </si>
  <si>
    <t>Lipigas PSR Danone (Chillán)</t>
  </si>
  <si>
    <t>[Lipigas PSR Danone (Chillán)] PSR Danone (Chillán)</t>
  </si>
  <si>
    <t xml:space="preserve">Revisión de comunicación MODBuS RTU  planta PSR Danone entre correcto de flujos y sistema de monitoreo o PLC de planta </t>
  </si>
  <si>
    <t xml:space="preserve">Trabajo administrativo </t>
  </si>
  <si>
    <t xml:space="preserve">Sala de control GNL Lipigas </t>
  </si>
  <si>
    <t>Sala de control GNL</t>
  </si>
  <si>
    <t xml:space="preserve">Retiro de pantalla de sala de control producto de falla </t>
  </si>
  <si>
    <t>El Soldado Cachimba Relevadoras</t>
  </si>
  <si>
    <t>[El Soldado Cachimba Relevadoras] Cachimba Relevadoras</t>
  </si>
  <si>
    <t xml:space="preserve">Soporte terreno y cambio de sondas </t>
  </si>
  <si>
    <t>Juan José López</t>
  </si>
  <si>
    <t xml:space="preserve">Resolución 31 monitoreo y calidad de aguas </t>
  </si>
  <si>
    <t>Bodega ASAP</t>
  </si>
  <si>
    <t xml:space="preserve">Entrega de materiales 
Conexión de los puntos trasladados 
</t>
  </si>
  <si>
    <t>ASP Pozos</t>
  </si>
  <si>
    <t>Cambio de sondas multiparametricas y revisión de programa PLC.</t>
  </si>
  <si>
    <t>[Global Tórtolas] Pozo PMO 05</t>
  </si>
  <si>
    <t xml:space="preserve">Desconexión, instalación y configuración </t>
  </si>
  <si>
    <t xml:space="preserve">Resolucion 31 calidad de aguas </t>
  </si>
  <si>
    <t>PMO-15c</t>
  </si>
  <si>
    <t xml:space="preserve">Resolución 31 monitoreo calidad de aguas </t>
  </si>
  <si>
    <t>PME-09</t>
  </si>
  <si>
    <t>PME-08</t>
  </si>
  <si>
    <t>[Global Tórtolas] Pozo PBM4</t>
  </si>
  <si>
    <t xml:space="preserve">Desconexión, conexión y configuración </t>
  </si>
  <si>
    <t>Revisión de lectura del instrumento sonda multiparametrica</t>
  </si>
  <si>
    <t>[Global Tórtolas] Pozo P2G</t>
  </si>
  <si>
    <t>[Global Tórtolas] Pozo P3G</t>
  </si>
  <si>
    <t>[Global Tórtolas] Pozo PBM1</t>
  </si>
  <si>
    <t xml:space="preserve">Manutención preventiva - Levantamiento técnico </t>
  </si>
  <si>
    <t>Solicitudes cliente, ajuste y revision de recintos</t>
  </si>
  <si>
    <t>Lipigas PSR Quillayes</t>
  </si>
  <si>
    <t>[Lipigas PSR Quillayes] PSR Quillayes</t>
  </si>
  <si>
    <t>Revisión operacion plants y equipos de comunicación. Feedback cruzado.</t>
  </si>
  <si>
    <t>Instalación flowcell y modificación de estructura</t>
  </si>
  <si>
    <t>APR Parcelación El Melón RP1</t>
  </si>
  <si>
    <t>[APR Parcelación El Melón RP1] Pozo 1 y 2 y Estanques Azul y Acumulación</t>
  </si>
  <si>
    <t xml:space="preserve">Apoyo conexion contactor pozo 2 en falla </t>
  </si>
  <si>
    <t>SSR Comité Manzanar</t>
  </si>
  <si>
    <t>[SSR Comité Manzanar] Lora Estanque Manzanar</t>
  </si>
  <si>
    <t xml:space="preserve">Revisión comunicacion local Lora pozo-estanque </t>
  </si>
  <si>
    <t>[Gestión Hídrica El Soldado] Pozo El Melón N° 06 (PEM-06) Nodo</t>
  </si>
  <si>
    <t>Gestión hídrica el soldado</t>
  </si>
  <si>
    <t>Barrera T4</t>
  </si>
  <si>
    <t>[Gestión Hídrica El Soldado] Monitoreo Canaletas UG</t>
  </si>
  <si>
    <t xml:space="preserve">Arranque Barrera Hidráulica TRET/Estación Reelevadora. </t>
  </si>
  <si>
    <t>Cachimba Veta Blanca</t>
  </si>
  <si>
    <t>[Global Tórtolas] Pozo P3GB</t>
  </si>
  <si>
    <t>Configuración telemetria y levantamiento</t>
  </si>
  <si>
    <t xml:space="preserve">Mantención correctiva - Contrastación de valores </t>
  </si>
  <si>
    <t>[Gestión Hídrica El Soldado] Dren de Cap de Inflil (AO-1) Gateway B</t>
  </si>
  <si>
    <t xml:space="preserve">Estanque caseta el melon </t>
  </si>
  <si>
    <t>[Gestión Hídrica El Soldado] Piscina 3800 desde V.B</t>
  </si>
  <si>
    <t>Gestión hidrica el soldado Reforestacion</t>
  </si>
  <si>
    <t>Reforestacion</t>
  </si>
  <si>
    <t>[Gestión Hídrica El Soldado] Estero El Cobre (ET-0F) Nodo B</t>
  </si>
  <si>
    <t>Brisaguas - La Cruz</t>
  </si>
  <si>
    <t>[Brisaguas - La Cruz] Pozo 7</t>
  </si>
  <si>
    <t xml:space="preserve">Revisión de conexión pozo 7 </t>
  </si>
  <si>
    <t>Tomás Bustamante</t>
  </si>
  <si>
    <t>Estadio Español</t>
  </si>
  <si>
    <t>[Estadio Español] Estanques B.Elev</t>
  </si>
  <si>
    <t>Revisión señal caudalimetro</t>
  </si>
  <si>
    <t>Viñas de Chicureo</t>
  </si>
  <si>
    <t>[Viñas de Chicureo] Estanque</t>
  </si>
  <si>
    <t>Revisión en terreno de impacto de la incidencia de nivel de estanque producto retardo de RC</t>
  </si>
  <si>
    <t>[Viñas de Chicureo] Pozo 1</t>
  </si>
  <si>
    <t>[Gestión Hídrica El Soldado] Zona Veta Blanca Gateway ZM</t>
  </si>
  <si>
    <t>[Gestión Hídrica El Soldado] Pozo N° 3B (P3B) Nodo B4</t>
  </si>
  <si>
    <t>Conexionado de instrumentación y mantenimiento preventivo.</t>
  </si>
  <si>
    <t>[Gestión Hídrica El Soldado] Pozo El Melón N° 01 (PEM-01) Nodo</t>
  </si>
  <si>
    <t xml:space="preserve">SMA res 31 </t>
  </si>
  <si>
    <t>Oficina</t>
  </si>
  <si>
    <t>Montaje de cilindro para sonda multiparamétrica.</t>
  </si>
  <si>
    <t>Visita R3050 - Los Bronces</t>
  </si>
  <si>
    <t>[Los Bronces - Riecillos] R3050 Caudalimetro A</t>
  </si>
  <si>
    <t xml:space="preserve">Visita R2700 - Los Bronces </t>
  </si>
  <si>
    <t>Abastible - PSR La Estrella</t>
  </si>
  <si>
    <t>[Abastible - PSR La Estrella] Abastible - PSR La Estrella</t>
  </si>
  <si>
    <t xml:space="preserve">Retiro y cambio de sondas multiparametricas </t>
  </si>
  <si>
    <t>Instalación de Tablero Lora e integración de instrumento caudalimetro</t>
  </si>
  <si>
    <t>[Gestión Hídrica El Soldado] Mina UG Canaleta Mina Planta</t>
  </si>
  <si>
    <t>Instalación / soporte</t>
  </si>
  <si>
    <t>El Soldado Cachimba El Cobre</t>
  </si>
  <si>
    <t>[El Soldado Cachimba El Cobre] El Soldado Cachimba el Cobre</t>
  </si>
  <si>
    <t xml:space="preserve">Mantenimiento preventivo/ cambio de sonda multiparamétrica </t>
  </si>
  <si>
    <t>[Global Tórtolas] Pozo O4B</t>
  </si>
  <si>
    <t>Instalación, revisión y pruebas de funcionamiento de sondas
multiparamétricas</t>
  </si>
  <si>
    <t xml:space="preserve">Instalación, revisión y pruebas de funcionamiento de sondas multiparamétricas </t>
  </si>
  <si>
    <t>Revisión datos y estado R3050</t>
  </si>
  <si>
    <t>Gestión hídrica El Soldado</t>
  </si>
  <si>
    <t xml:space="preserve">Bodega S. Recursos Hídricos </t>
  </si>
  <si>
    <t xml:space="preserve">Mantenimiento preventivo a puntos de inyección </t>
  </si>
  <si>
    <t>[ASP Pozos] Pozo 24</t>
  </si>
  <si>
    <t xml:space="preserve">Revisión pozo 24 caudalimetro </t>
  </si>
  <si>
    <t>C</t>
  </si>
  <si>
    <t>Matías Pomar</t>
  </si>
  <si>
    <t>Emir Navarro Crocci</t>
  </si>
  <si>
    <t>Oficina We</t>
  </si>
  <si>
    <t>APR Carmen San José</t>
  </si>
  <si>
    <t>APR Los Caleos</t>
  </si>
  <si>
    <t>AAES</t>
  </si>
  <si>
    <t>[Global Tórtolas] Pozo PP-31C</t>
  </si>
  <si>
    <t>Container</t>
  </si>
  <si>
    <t>[SSR Comité Manzanar] Recinto Planta Principal</t>
  </si>
  <si>
    <t>[APR Carmen San José] Pozo 5 y Estanques</t>
  </si>
  <si>
    <t>[Global Tórtolas] Pozo P7</t>
  </si>
  <si>
    <t>[Global Tórtolas] Pozo PBM5</t>
  </si>
  <si>
    <t xml:space="preserve">Bodega recursos hidricos </t>
  </si>
  <si>
    <t>[Gestión Hídrica El Soldado] Pozo Inyección Barrera Hidráulica PI1 Nodo B22</t>
  </si>
  <si>
    <t>[Gestión Hídrica El Soldado] Caudalimetros HDS Sector Planta</t>
  </si>
  <si>
    <t>[Gestión Hídrica El Soldado] Lora Dren los Caleos</t>
  </si>
  <si>
    <t>[Gestión Hídrica El Soldado] Pozo El Melón N° 04 (PEM-04) Nodo A11</t>
  </si>
  <si>
    <t>Patio de tuberias</t>
  </si>
  <si>
    <t>[APR Los Caleos] Pozos y Bombas Elevadoras</t>
  </si>
  <si>
    <t>PI17 AL PI20</t>
  </si>
  <si>
    <t>[Gestión Hídrica El Soldado] Pozos El Soldado Caseta el Melón</t>
  </si>
  <si>
    <t xml:space="preserve">Implementación de telemetria </t>
  </si>
  <si>
    <t>Servicio problemas en funcionamiento de bombas</t>
  </si>
  <si>
    <t>Instalación de Gateway Dragino</t>
  </si>
  <si>
    <t xml:space="preserve">Revisión de señal recinto </t>
  </si>
  <si>
    <t>Mantenimiento correctivo</t>
  </si>
  <si>
    <t>Inspección, validación SMA</t>
  </si>
  <si>
    <t xml:space="preserve">Levantamiento - Cambio de tarjeta SIM. </t>
  </si>
  <si>
    <t xml:space="preserve">Transporte de materiales </t>
  </si>
  <si>
    <t>Inspección de contingencias.</t>
  </si>
  <si>
    <t xml:space="preserve">Traslado de materiales </t>
  </si>
  <si>
    <t>Evaluación de trabajos y mantenimiento.</t>
  </si>
  <si>
    <t>Actualización de datos en softwares</t>
  </si>
  <si>
    <t>Avanze instalación solar 2700</t>
  </si>
  <si>
    <t>Traslado gateway</t>
  </si>
  <si>
    <t>Instalación solucion solar R2700</t>
  </si>
  <si>
    <t>[Gestión Hídrica El Soldado] Aguas de Inyección (AO-2) Nodo A15</t>
  </si>
  <si>
    <t xml:space="preserve">Mantenimiento </t>
  </si>
  <si>
    <t>Mantenimiento</t>
  </si>
  <si>
    <t>Instalación solución solar R2700</t>
  </si>
  <si>
    <t>Mantenimiento - soporte</t>
  </si>
  <si>
    <t>Instalacion solucion solar R2700</t>
  </si>
  <si>
    <t>Fecha</t>
  </si>
  <si>
    <t>Etiquetas de fila</t>
  </si>
  <si>
    <t>Total general</t>
  </si>
  <si>
    <t>Cuenta de Fecha</t>
  </si>
  <si>
    <t>x</t>
  </si>
  <si>
    <t>Cuenta de Tipo de trabajo anterior</t>
  </si>
  <si>
    <t>Total</t>
  </si>
  <si>
    <t>Cliente</t>
  </si>
  <si>
    <t>AALT</t>
  </si>
  <si>
    <t>Lipigas</t>
  </si>
  <si>
    <t>AALB</t>
  </si>
  <si>
    <t>ASP</t>
  </si>
  <si>
    <t>Fundación</t>
  </si>
  <si>
    <t>Abastible</t>
  </si>
  <si>
    <t>Estadio español</t>
  </si>
  <si>
    <t>Brisaguas</t>
  </si>
  <si>
    <t>We</t>
  </si>
  <si>
    <t>Resolución</t>
  </si>
  <si>
    <t>Se revisa estado de la comunicación del pulso del caudalimetro en el pozo 24 que fue cambiado recientemente por el cliente.
Se configura el equipo para que transmita el pulso por su salida digital optoacoplada a 1 pulso cada 1 m3. 
Se configura PLC para la transmisión del flujo instantáneo y totalizado real en plataforma, junto a la contrastación de los datos.
Salida analógica se encuentra conectada con señal digital, posiblemente se ha dañado la salida analógica del caudalimetro.
El equipo queda transmitiendo de forma directamente mediante la conexión de we Techs a la plataforma.
Se deja sin uso transmisor inalámbrico marca SENSUS.</t>
  </si>
  <si>
    <t>Se realiza visita para revisión del nivel, todo en orden nivel de piscina a 102,60%</t>
  </si>
  <si>
    <t xml:space="preserve"> Piscina UG-300 se regula la compuerta hacia el estero el gallo para mantener nivel de piscina, ya que, estaba con el nivel de agua alto se dejó en un 68% y bajando de a poco</t>
  </si>
  <si>
    <t>Por fallido intento de trasladar bodega por parte de SS por exceso de peso. Tras dicha situación, SS solicita quitar peso en bodega para que pueda ser trasladado, el cual se re-ubican baterías de gel en oficina ubicada en ex planta sulfuros. Además, se moviliza a Administrador de contrato We-Techs por operación.</t>
  </si>
  <si>
    <t xml:space="preserve">Se realiza revisión y corrección en niveles de piscina UG-300 y regulación en la compuerta hacia EEG.
Piscina UG-300 queda con nivel del 60% para evitar rebalse y buen flujo hacia 3800
Piscina 4000 presenta un nivel de 102,57% al momento de la visita.
</t>
  </si>
  <si>
    <t>Se realiza inspección y se determina que el caudalimetro se encuentra trabado.
Se realizan pruebas con apertura de válvula para intentar que caudalimetro gire en reversa y tampoco resulta exitosa la prueba, para así poder conectar por pulsos directamente a uc300 y no pasando por PLC para poder obtener lecturas pero no iban a ser acordes a la realidad
No se permite poder contrastar valores en terreno a través de uc300 o PLC ya que no se obtienen datos.8
La bomba se encontraba detenida.</t>
  </si>
  <si>
    <t>Se revisa el tablero y equipos, se logra reestablecer su envio de datos a plataforma. Los equipos se encuentran energizados y midiendo, se observa que este caudal tiene fluctuaciones desde los 60l/s a 500l/s por lo que queda pendiente su revisión y contrastación para validar los datos.
S/N:21843875</t>
  </si>
  <si>
    <t>Se revisa el tablero y equipos, se logra reestablecer su envio de datos a plataforma. No se observan detalles en este punto ya que según equipo no hay existencia de flujo hacia la operación. 
S/N: 21889331</t>
  </si>
  <si>
    <t>Se revisa el tablero y equipos, se logra reestablecer su envio de datos a plataforma. En este punto se reinicia el UC300 obteniendo datos, se observa caudal estable y consistente.
S/N:21843839</t>
  </si>
  <si>
    <t>Se revisa los equipos dentro de la sala R3050 donde luego desl corte de red electrica ocurrido el 21 de agosto se perdió la telemetria de todos los datos. 
Al ingresar se observa que todos los tableros WeTechs se encuentran desnergizados a pesar de que automático de alimentacion general se encuentra activo. Se procede a bajar y subir el breaker, de esta forma se recupera inmediatamente la alimentacion a los tableros y la telemeteia de los datos.
Por otro dato se revisó los datalogger donde se verifica el logeo de datos y se efectua cambio de unidades.</t>
  </si>
  <si>
    <t>Se realiza inspección visual para la recopilación de imágenes e informar a cliente que empresa externa aún no realiza la instalación de las válvulas de bola en cuello de cisne que se encuentran pendientes.</t>
  </si>
  <si>
    <t>Se realiza inspección visual para la recopilación de imágenes e
informar a cliente que empresa externa aún no realiza la instalación de las válvulas de
bola en cuello de cisne que se encuentran pendientes.</t>
  </si>
  <si>
    <t>Se realiza inspección de nivel en piscina UG-300, al momento de llegar había un 64% reflejado en el transmisor y se deja estabilizado en un 68,23% para que se cumpla el rebalse por el muro del costado de la compuerta hacia EEG. 
Personal de We-Techs se queda a la espera de los trabajos a realizar por solicitud de mandante para poder supervisar el correcto nivel en UG-300 y caudal hacia 3800.
Se regula la compuerta hacia estero el gallo y se cierra la válvula que da paso hacia piscina 3800.
Se espera el aviso para volver a abrir válvula de paso hacia piscina 3800
El caudal de la entrada a la piscina 3800 se mantiene en un rango de 19 l/s por solicitud de mandante luego de volver a abrir la válvula después de los trabajos.</t>
  </si>
  <si>
    <t xml:space="preserve">Se realiza visita para verificar el estado del punto ya que arrojaba valores muy altos (217 l/s), presenta signos de descalibración.
Se procede a subir protección termomagnética que se encontraba abajo y aplicar reset del instrumento de medición, luego de eso se actualizan valores en plataforma con valor de 80l/s.
Se adjunta como varía gráfico en plataforma luego de la intervención 
</t>
  </si>
  <si>
    <t>Se acude a cachimba reelevadora para agregar usuario con la patente de camión en el sistema para que pueda realizar extracción de agua.
No se presentan observaciones.</t>
  </si>
  <si>
    <t xml:space="preserve">Se acude a cachimba el cobre para agregar usuario con la patente de camión en el sistema para que pueda realizar extracción de agua.
Se agrega patente de camión aljibe en cachimba el cobre, se resetea el tablero de teltonika y PLC. Queda funcionando sin problema. </t>
  </si>
  <si>
    <t xml:space="preserve">Cierre de válvula hacia piscina 3800 para trabajos de la empresa SS por solicitud del cliente.
Se toma nivel de piscina UG-300, queda con un 69% luego de apertura de compuerta hacia EEG.
</t>
  </si>
  <si>
    <t>Se acude a PM-4 para aplicar reset en el punto ya que no estaba enviando datos actualizados
 Queda transmitiendo a plataforma con verificación de variables congruentes.</t>
  </si>
  <si>
    <t>Se efectua revisión de los tableros del punto de medición y de equipo instalado en piping, se recuperan datos en plataforma y se ajustan sensores en tubería logrando una medición estable. 
No se logra efectuar contrastación con equipo patrón dada las condiciones de espacio, agua, goteo y humedad en cámara subterránea. Esta tarea debe ejecutarse cuando las condiciones anteriores mejoren y exista el espacio para poder contrastar sin tener que retirar el flujometro del tablero.</t>
  </si>
  <si>
    <t>Se efectua revisión de los tableros del punto de medición y de equipo instalado en piping, se recuperan datos en plataforma.
La contrastacion en este punto logra efectuarse ya que las condiciones lo permitieron pero la medición se hizo cuando no había impulsion de agua a la operación por lo que sólo se obtuvieron valores de 0 l/s al igual que lo medido por el flujometro de tablero.
Queda pendiente poder efectuar contrataciones cuando exista flujo.</t>
  </si>
  <si>
    <t>Se efectua revisión de los tableros del punto de medición y de equipo instalado en piping, se recuperan datos en plataforma.
La contrastacion en este punto logra efectuarse ya que las condiciones permitieron contrastar sin tener que retirar flujometro del tablero, los valores medidos en este punto se presentaron diferencias considerables por lo que se debe efecutar una mantención preventiva y efectuar nuevas mediciones.</t>
  </si>
  <si>
    <t>Se efectua con éxito la contrastacion del caudalimetro B con instrumento patrón, se recuperan los datos de este punto y se reflejan en plataforma.
Se observan datos estables pero con una diferencia entre equipo patrón y equipo de tablero de aprox. 6 l/s hay que considerar que la medición no está realizada bajo las mismas condiciones ya que el encamizado de la tubería donde se midió con equipo patrón puede afectar la lectura.</t>
  </si>
  <si>
    <t>En este recinto se encuentra la misma condición después de que el recinto perdiera la energía eléctrica, se hace el reseteo de automático bipolar para recuperar la alimentación de todos lo equipos y tableros WeTechs. 
Se hace revisión de dataloggers y estado de baterías e inversor de la instalación.</t>
  </si>
  <si>
    <t>Se realizan actividades de instalación de un nuevo caudalimetro, en un nuevo tablero We Lora alimentado a través de una solución solar.
El instrumento se configura y es leído por el dispositivo de comunicación UC300 a traves de señales de pulso.
Se queda a la espera su finalización para ser agregado a plataforma el nuevo asset por parte del equipo de automatización para ser visualizado por el cliente.</t>
  </si>
  <si>
    <t>Se atiende a contigencia para realizar apertura de válvula permitiendo el paso flujo desde piscina UG hacia piscina 3800</t>
  </si>
  <si>
    <t>Se realiza retiro de sonda multiparametrica para su calibración, dejando instalada operativa y en funcionamiento una de manera provisoria.</t>
  </si>
  <si>
    <t xml:space="preserve">Realizamos mantenimiento preventivo.
Limpieza de panel solar.
Reapriete de conexión.
Limpieza de tableros.
Revisión en plataforma </t>
  </si>
  <si>
    <t xml:space="preserve">Se coordina con SS para realizar los trabajos de montaje del caudalimetro y modificar pi ping por parte de ellos.
Se explica en terreno lo que deben realizar. 
</t>
  </si>
  <si>
    <t xml:space="preserve">Realizamos instalación de cableado hasta caja de derivación instalada a un costado del caudalimetro. 
Se realizo conexionado de cableado en cajas de derivación. 
Reemplazamos transmisor de pulsos del caudalimetro ya que estaba en malas condiciones. </t>
  </si>
  <si>
    <t xml:space="preserve">Se realiza retiro de materiales de oficina 
- 4 cilindros acrílicos
- 9 tapas de los cilindros
- 2 flowcell con orificios
- 2 flowcell sin orificios (analizar si pueden llegar a servir mientras se esperan los definitivos)
- 1 rollo de 100mts de microtubo
</t>
  </si>
  <si>
    <t>Por solicitud de cliente se realiza revisión rebalse piscina UG-300 hacia 3800. Asegurando los 19 litros/segundo. 
Se revisa además el rebalse de piscina 4000.
Se realizo el corte de válvula hacia túnel sur.</t>
  </si>
  <si>
    <t>Se comunica con empresa SS para saber em estatus de los trabajos de instalación que fueron solicitados.</t>
  </si>
  <si>
    <t>Se realiza limpieza panel fotovoltaico y tablero Nodo lora - PLC, reapriete terminales y cambio de sonda multiparametrica para llevar a calibración. Se validan datos terreno/plataforma, una vez realizado dicho cambio.
Dicha limpieza y reaprite se realizó en P3A y P3B.</t>
  </si>
  <si>
    <t xml:space="preserve">Se realizo visita al punto ya que estaba caído.
Después de la inspección nos damos cuenta de que un terminal de batería hacia el regulador de carga se encontraba en mal estado, se procede a reemplazar y se soluciona el problema,  quedando transmitiendo los datos a la plataforma. </t>
  </si>
  <si>
    <t xml:space="preserve">En este punto se consigue apoyo eléctrico para poder ingresar a la sala eléctrica. 
Procedemos a terminar canalización al interior de la sala hasta em tablero de telemetria. 
Se termina de cablear hasta el tablero, se conecta el caudalimetro y sensor de nivel al tablero de monitoreo. </t>
  </si>
  <si>
    <t>Se procede a reemplazar sonda multiparametrica del punto para llevar a calibración. 
Realizamos cableado nuevo para mejorar la instalación y hacer más eficiente cada vez que se reemplace.</t>
  </si>
  <si>
    <t>Se configura PLC para dejar leyendo sonda multiparametrica que fue reemplazada.</t>
  </si>
  <si>
    <t>Se realiza una inspección general del sistema de bombeo para la presurización de agua, se recaudan comentarios del operador y administra adores y se revisa la instalación para realizar propuestas de mejoras enfocadas en la mitigación de fallas.
Se realiza levantamiento del impacto enfocadas el tablero eléctrico y sus componentes de control y fuerza. 
No se realizan pruebas debido a que no se dan las condiciones del terreno para operar ni un componente del proceso.</t>
  </si>
  <si>
    <t xml:space="preserve">Actualizaciones de dispositivos </t>
  </si>
  <si>
    <t>Se realiza inspección de caudalimetro en el cual nos damos cuenta que no presenta señales de estar energizado. El caudalimetro cuenta con batería propia y a nuestro tablero solo llega señal de pulsos, se concluye que no alimentamos el caudalimetro (solo recibimos señal) y que se debe cambiar el instrumento por vida útil de la batería. (Información explícita en Manuel del fabricante)</t>
  </si>
  <si>
    <t xml:space="preserve">Se da como diagnóstico una falla en el router RUT 955 se debe revisar si el equipo está o no en garantía y en caso que no, el cliente solicita una cotización por la reposición del equipo.
Aparente falla por inestabilidad de la red eléctrica. 
Se debe regularizar conexionado de fusible, para evitar fallas en los dispositivos( aumentar capacidad de admisibilidad de corriente).
Se debe cotizar UPS de mayor capacidad.
Se debe enviar informe de falla día 14/09.
Se debe reciclar el enrutador según la LEY REP, a solicitud del cliente posterior a informarle nuestra política. </t>
  </si>
  <si>
    <t>Por solicitud del cliente se realiza ajuste de válvula hacia piscina 3800. Dejando un flujo de 20 l/s
Se realizo además configuración de equipo solar.</t>
  </si>
  <si>
    <t>Por solicitud del cliente se realiza levantamiento en recinto de la matriz que va piscina 3800 desde veta blanca. Para saber si es factible instalación de válvula hacia estero.</t>
  </si>
  <si>
    <t xml:space="preserve">Por solicitud del cliente se realiza levantamiento en punto de reforestacion para ver lugar adonde instalar caudalimetro, poste y panel solar.
</t>
  </si>
  <si>
    <t xml:space="preserve">Se realizo instalación de sonda multiparametrica que pertenece al punto. Esta había sido enviada a calibración. </t>
  </si>
  <si>
    <t>Se realizo canalización pendiente para sonda multiparametrica y sensor de nivel, desde tablero hasta pozo.</t>
  </si>
  <si>
    <t>Realizamos instalación de sonda multiparametrica de reemplazo mientras se lleva a calibración la que pertenece al punto.</t>
  </si>
  <si>
    <t>Realizamos instalación de sonda multiparametrica de reemplazo mientras se lleva a calibración la que pertenece al punto</t>
  </si>
  <si>
    <t xml:space="preserve">Se realizo instalación de sonda multiparametrica  provisoria para enviar la del punto a calibración. </t>
  </si>
  <si>
    <t xml:space="preserve">Se recurre al punto a dar solución ya que se encontraba caído. </t>
  </si>
  <si>
    <t>Por solicitud del cliente se realiza cierre de válvula desde veta blanca hacia piscina 3800 en sector -300.
Además se realiza inspección visual en piscina 4000, se revisa que rebalse sector sur estuviera abierto.
También se da flujo hacia piscina 4000 desde veta blanca.</t>
  </si>
  <si>
    <t>Se revisa que transmisor de pulsos BH TRET no sufra daño por cambio de energía eléctrica a generador.
Nos quedamos en el sector monitoreando.</t>
  </si>
  <si>
    <t>Nos dirigimos al punto para ver el correcto funcionamiento de la estación solar. Revisando carga de baterías.</t>
  </si>
  <si>
    <t>Caudalimetro E 
Se realizan las siguientes actividades.
- Contrastación de datos en 5 oportunidades en tubería de caudalimetro E para verificación de valores y comprobar si las mediciones son congruentes y acorde a la realidad
Cómo resolución se puede apreciar una diferencia de 40 l/s aproximadamente entre caudalimetro no invasivo portátil y transmisor del tablero We. 
Por lo cual, hay que analizar datos de caudalimetro TK17 y comparar las 3 mediciones entre caudalimetros E, Patrón y TK17.</t>
  </si>
  <si>
    <t>Se efectua el cambio de pila PLC de P3GB y levantamiento de datos tecnicos de terreno en pozos PBE 1 y 2.</t>
  </si>
  <si>
    <t>A solicitud del cliente, se requiere brindar apoyo a la empresa SS para la verificación del caudal mediante un caudalímetro no invasivo portátil en la matriz bomba de la veta blanca, tanto en el arranque de la cachimba como en la matriz de la laguna veta blanca.
Asimismo, se ofrece asistencia a la empresa SS para la configuración y ajuste del variador de frecuencia, con el objetivo de optimizar el funcionamiento de la bomba y su caudal respectivo. Se realizaron ajustes en las RPM del variador y en las válvulas de los arranques en la matriz. Tras dichos ajustes, se logra bajar Amperaje en bomba.
Se recomienda instalar caudalimetro en linea matriz laguna Veta Blanca.</t>
  </si>
  <si>
    <t>Se realiza visita piscina UG para revisión de trabajos, aumentando nivel para poner a prueba mejoras estructurales en piscina. Ademas, rotulado de herramientas.</t>
  </si>
  <si>
    <t>A solicitud de cliente, se visita en horario AM para visualizar trabajos de desconexión eléctrica en generador para monitorear caudalimetro electromagnético de BH TRET, para evitar fallas. En el cual no fue desconectado.
Sin embargo, en horario PM, se realiza visita nuevamente, por el cual operadores de dicho generador ya habían realizado maniobras de desconexión generador y conexión de la red convencional. Caudalimetro en cuestión operador con normalidad.</t>
  </si>
  <si>
    <t>A solicitud de cliente y LGO Tranque, se reanuda flujo desde aguas halladas mina ( Veta Blanca) hacia piscina 3800, cerrando bypass hacia piscina 4000 y abriendo válvula de piscina 3800, obteniendo flujo promedio a 32 l/s según requerimiento.</t>
  </si>
  <si>
    <t>Por solicitud del cliente se dirge al punto Barrera T4 a revisión de válvula para comprobar que estuviera al 100 %.</t>
  </si>
  <si>
    <t xml:space="preserve">Se dirige por solicitud del cliente a los puntos Pozos de inyección PI 17 hasta el PI 20. Encontrando válvula del PI 20 pegada, se soluciona y se revisa cada uno que estuviera inyectando </t>
  </si>
  <si>
    <t>Se dirige al punto ya que está caído. En terreno nos damos cuenta que no estaba llegando red eléctrica, nos coordinamos con eléctrico de turno para revisión no dando solución ya que desde sala eléctrica están arriba los automáticos pero al punto no llega.</t>
  </si>
  <si>
    <t>PEM-06: Se realiza inspección para verificar el voltaje en tablero pero no tiene llegada de energía aguas arriba de fuente de poder ni de la protección general.</t>
  </si>
  <si>
    <t xml:space="preserve">Se coordina con personal Anglo para visitar caseta el melón y posteriormente PEM10 para determinar la causa de no tener red eléctrica en los puntos.
Se determina que protecciones en tableros eléctricos se encuentran en normalidad así que la causa de la falla debe estar en el tramo entre caseta y acometida a PEM10.
</t>
  </si>
  <si>
    <t>Revisión de la instalación y su funcionamiento, no se presentan observaciones.</t>
  </si>
  <si>
    <t xml:space="preserve">Gateway lora en falla </t>
  </si>
  <si>
    <t>Posible falla en la bomba ante pruebas de funcionamiento de nuevo contactor.
Todo el lazo de control opera correctamente mediante sistena we, al igual que los equipos reemplazados.</t>
  </si>
  <si>
    <t>Se realiza modificación de la estructura donde se ubica el case, instalándose aprox 40cm mas de  altura</t>
  </si>
  <si>
    <t xml:space="preserve">Se revisa instalación. Se prueba UPS que se encuentra en correcto estado. 
Se revisan alarmas de temperatura de VSF Contrastando el valor en terreno.
</t>
  </si>
  <si>
    <t>A solicitud de cliente, se realiza ajuste en pozos de inyección logrando aumentar flujo en PI-17-18. Además, se limpian tableros de estación fotovoltaico y paneles. Finalmente, se revisa configuración de inversor.</t>
  </si>
  <si>
    <t>A solicitud de cliente, de forma urgente indica si podemos revisar alguna fuga en línea matriz de veta blanca hacia piscina 3800, específicamente en área El Peral, lo cual no fue encontrada dicha fuga, solamente caída de agua en ventosa. Además, solicita cortar flujo desde UG a piscina 3800 priorizando flujo desde veta blanca. Se retira bloqueo de válvula piscina UG a piscina 3800.</t>
  </si>
  <si>
    <t>Se realiza limpieza panel fotovoltaico, tableros y revisión de recinto en general. Se revisan datos.</t>
  </si>
  <si>
    <t xml:space="preserve">Se debe corregir llegada de sonda a pozo ya que baja al pozo a través de la tapa aplastando al cable en vez del encamisado. </t>
  </si>
  <si>
    <t>Se procede a reiniciar el equipo Sutron y a realizar pruebas de funcionamiento, ya que presentaba errores en la transmisión de datos provenientes de la sonda multiparamétrica instalada. Ante esta situación, se decide reemplazar el cable de comunicación, lo que permite validar correctamente los datos obtenidos en terreno y confirmar que el cable anterior se encuentra defectuoso.</t>
  </si>
  <si>
    <t>Se procede a reiniciar el equipo Sutron y a realizar pruebas de funcionamiento, ya que presentaba errores en la transmisión de datos provenientes de la sonda multiparamétrica instalada. Se verifica que el cable de transmisión se encuentra defectuoso.</t>
  </si>
  <si>
    <t>Se procede a reiniciar el equipo Sutron y a realizar pruebas de funcionamiento, ya que presentaba errores en la transmisión de datos provenientes de la sonda multiparamétrica instalada. Se normaliza la transmisión de datos y son reflejados en plataforma.</t>
  </si>
  <si>
    <t>Se realiza trabajo administrativo.
Además, Se vista recinto ya que se obtienen datos con tendencia a infinito, pero al llegar, pozo se encontraba detenido y colaborador de H&amp;A no se encontraba disponible.</t>
  </si>
  <si>
    <t>Los parámetros de la telemetría se encuentra midiendo fuera de rango, por lo que se realiza verificación de datos en terreno a través del computador los programa utilizados son Linkomm y Hydrolab. 
Se establece registro fotográfico de la medición en terreno y lo que se encuentra reflejando la plataforma we.</t>
  </si>
  <si>
    <t>Se realiza apertura del cierre perimetral con el fin de que la gente por la empresa ASAP pueda generar los trabajos de traslado de tableros, antenas, caja registros, poste y paneles solares.</t>
  </si>
  <si>
    <t>Se realiza apertura del cierre perimetral con el fin de que la gente por la empresa ASAP pueda generar los trabajos de traslado de tableros, antenas, caja registros, poste y paneles solares.
Para poder ser instaladas.</t>
  </si>
  <si>
    <t>Se realiza instalación de candado en cierre perimetral para generar resguardar y protección con a los tableros instalados.</t>
  </si>
  <si>
    <t>Se realiza nuevamente visita a recinto ya que datos de sonda multiparametrica se encuentran pegados, en el cual, equipo de A&amp;Q realiza ajusten en programa de PLC, forzando actualización de datos en rutina de programación, diera el caso de que se volviera a pegar en un futuro. A la hora de realizado dicho orden de trabajo, no se ha vuelto a pegar dichos datos.
Se monitoreara dicho recinto en los próximos días, revisando el funcionamiento de este.</t>
  </si>
  <si>
    <t xml:space="preserve">Se realiza entrega de materiales para la implementación de los recintos pozos PP-31 y PP-29
2 tableros nodo Lora 
2 tableros Sutron 
2 bando de baterías 
4 baterías 12V a 55AH
2 sensores hidrostáticos 0 a 60 y 0 a 45
2 paneles fotovoltaicos 
2 soporte para paneles solar 
</t>
  </si>
  <si>
    <t>En primera instancia, a solicitud de cliente, se entrega motobomba 4” a personal de Agromonte.
A continuación, cliente solicita apoyo a empresa MIES para utilizar cachimba Relevadora, en el cual, supervisor de la empresa indica que no tienen usuarios registrados. se coordina con personal de A&amp;H para realizar usuarios para que puedan utilizar cachimba, tanto Relevadora como El Cobre, se agregan usuarios conformemente y se informa a cliente de dicho movimiento. Usuarios operan correctamente.</t>
  </si>
  <si>
    <t>Se retiran equipos en falla de la sala de control y no se deja pantallas backup debido a que el computador de la sala no permite mas conexión de pantallas mediante HDMI</t>
  </si>
  <si>
    <t>No se encontro</t>
  </si>
  <si>
    <t>Se revisa la configuración del bus MODBUS  existente en terreno entre PLC y Router teltonika RUT955, además de la revisión del BUS MODBUS  interno entre PLC y corrector de flujos. 
Se concluye que el problema de comunicación se encuentra en placa MODBUS del itron CORUS dado que al instalar un componente nuevo, la comunicación se logra establecer sin conflicto, solo con la observación de que hay variables sin registrar, lo cual termina siendo un problema de direccionamiento de la variable en el PLC o el corrector de flujo.</t>
  </si>
  <si>
    <t>Se realizo ajustes en caudal barrera hidráulica además ajuste en válvula ya que se encontraba pegada.</t>
  </si>
  <si>
    <t xml:space="preserve">Se realizo inspección visual al punto para cerciorarse qué estuviera en correcto funcionamiento. </t>
  </si>
  <si>
    <t>Se realizo inspección visual al punto para cerciorarse qué estuviera en correcto funcionamiento. 
Además se ajusta válvula.</t>
  </si>
  <si>
    <t xml:space="preserve">Revisión visual del punto, y Revisión en la plataforma el correcto funcionamiento. </t>
  </si>
  <si>
    <t xml:space="preserve">Inspección visual y en la plataforma ya que el punto se encuentran pegado los datos.  coordinamos visita para el día de mañana ya que hay que realizar unos ajustes en plataforma en conjunto con personal de automatización. </t>
  </si>
  <si>
    <t>Punto de monitoreo se encontraba sin transmitir datos. Se realizo reinicio del sistema quedando ok.</t>
  </si>
  <si>
    <t>Después del traslado de bodega, se produjo caída de elementos de las repisas.
Procedemos a realizar orden de Materiales, y limpieza de la bodega.</t>
  </si>
  <si>
    <t xml:space="preserve">Procedemos a ir al punto después de aviso que no se estaba transmitiendo datos, se da reinicio al sistema quedando ok.
Mañana se procederá a realizar ronda por demás pozos de monitoreo.
</t>
  </si>
  <si>
    <t>Se realizo ajustes en programación, ya que el sistema no estaba actualizando datos. 
Quedó transmitiendo ok.</t>
  </si>
  <si>
    <t>Realizamos inspección visual del nivel piscina, además revisamos el rebalse hacia el estero.</t>
  </si>
  <si>
    <t>Realizamos el corte de flujo hacia túnel sur,dejando el 100%a túnel norte asegurando rebose desde piscina UG hacia piscina 4000 y 3800.</t>
  </si>
  <si>
    <t>Fuimos al punto ya que no está transmitiendo datos. Nos encontramos con que no hay red eléctrica,  se desconoce el por que.</t>
  </si>
  <si>
    <t>Realizamos ronda por todos los pozos de monitoreo exteriores  e interiores anotando datos faltantes en planilla de sensores de nivel.</t>
  </si>
  <si>
    <t>Se realiza el cambio de baterías conectadas a inversor en sala 2700 y se retiran las antiguas para su vuelta a Santiago. Además de analiza la incorporación de la lectura de parámetros del inversor y condiciones de instalación. 
Previo a la llegada al punto se hace una revisión de los.materiales en el patio de tuberías verificando su estado y cantidades. A continuación su detalle:
30 riel tipo ruc para paneles 109cm
32 riel ancho de soporte panel 130cm
10 Conduit galvanizada 3/4" 3mts
9 coplas para tuberias 3/4"
2 paneles de 170W ✅
9 paneles 550W ✅
3 paneles de 550W en mal estado (quebrados)
Medidas paneles:
550W: 113cm x 228,5cm
170W: 66,5cm x 149cm</t>
  </si>
  <si>
    <t xml:space="preserve">Realizamos contrastacion en caudalimetro del sector. </t>
  </si>
  <si>
    <t xml:space="preserve">Se realizo contrastacion con caudalimetro no invasivo. </t>
  </si>
  <si>
    <t>Realizamos el retiro del transmisor de pulsos del caudalimetro para que realicen mantenimiento o recambio ya que está trabado.</t>
  </si>
  <si>
    <t xml:space="preserve">Se efectua el bloqueo electrico junto con apoyo AA para realizar cambio de automático general que alimenta la telemetría. </t>
  </si>
  <si>
    <t xml:space="preserve">Se efectua el bloqueo electrico junto con apoyo AA para realizar cambio de automático general que alimenta la telemetría. 
Instalación de calefactor y termostato al interior de tablero alimentación general telemetría como como mejora por las condiciones extremas de temperatura al interior de la sala de bombas. 
Intercambio de baterias conectadas y previamente diagnosticadas como degradadas, se reemplazan baterías por las de respaldo las cuales no se habian utilizado y se encontraban en buen estado. </t>
  </si>
  <si>
    <t>Se realiza contrastación de caudal en arranque BH-T4 en caudalimetro electromagnético, instrumento en terreno marca 8,64 l/s e instrumento patrón 8,06 l/s, obteniendo una leve diferencia entre equipos, pero confiable.</t>
  </si>
  <si>
    <t xml:space="preserve">Se realiza visita terreno y contrasta caudal en el punto de monitoreo, línea matriz se percibe con aire, creando inestabilidad en el cuadalimetro, tanto en el invasivo electromagnético como el no invasivo.
Se recomienda instalación de ventosa en salida de pozo y entre medio de caudalimetro.
</t>
  </si>
  <si>
    <t>Realizamos contrastacion con caudalimetro no invasivo en pi ping.</t>
  </si>
  <si>
    <t xml:space="preserve">Se realizo contrastacion y además se realizaron modificaciones en plataforma y electrovalvula </t>
  </si>
  <si>
    <t>Fuimos a revisar caudalimetro, pero no se pudo realizar por haber trabajos de izaje en el lugar</t>
  </si>
  <si>
    <t>En este punto realizamos el conexionado de transmisor de pulsos del caudalimetro yá que había sido reemplazo por problemas.</t>
  </si>
  <si>
    <t>Se realizo check list de herramientas. 
Se realizo marca de herramientas correspondiente al mes 2 cinta azul.</t>
  </si>
  <si>
    <t xml:space="preserve">Realizamos el cambio de flujo de aguas túnel.
Guiando todo el flujo hacia túnel sur para poder ejecutar trabajos en estero. </t>
  </si>
  <si>
    <t>Realizamos el cambio de flujo desde túnel norte hacía túnel sur</t>
  </si>
  <si>
    <t>Realizamos instalación de sensor de velocidad en tubería faltante, cableado y conexión en tablero. Queda pendiente configuración del equipo. 
Se realizo segregación del recinto para realizar un trabajo seguro.</t>
  </si>
  <si>
    <t>Hoy se realizo configuración en el equipo teledyne y además conexionado entre tablero y equipo. 
Queda pendiente configuración de UC 300.</t>
  </si>
  <si>
    <t xml:space="preserve">Se continúa con configuración de equipo además se invierte el sentido de los sensor de velocidad. </t>
  </si>
  <si>
    <t>Se realizo traslado de materiales, además se realizo montaje de panel solar.
Se realizo montaje de tableros we connect y we solar.</t>
  </si>
  <si>
    <t xml:space="preserve">Hoy se realizo el montaje del sensor RQ30  en estero el gallo además se realizo canalización a la vista desde equipo hasta tableros.
Montaje de antena con su canalización y cableado. 
Canalización entre tableros.
Canalización hasta el punto donde se conectara la sonda multiparametrica </t>
  </si>
  <si>
    <t>Se realiza cambio de transmisor de flujo en caudalimetro E posterior a diagnóstico efectuado el día anterior. El equipo se configura según parámetros necesarios y se deja leyendo correctamente, el dato vuelve a estar disponible en plataforma.</t>
  </si>
  <si>
    <t>Se realiza la revisión de los equipos y la comunicación donde se mejora la señal de equipo satelital ajustando antena pero no se logra transmitir el dato, por otro lado se están registrando y guardando datos en datalogger.
Adicionalmente se observa una falla en la alimentación hacia los tableros de telemetria desde la sala eléctrica AA, dado que al partir y parara bombas de la sala 2700 se observa interrupción de alimentación generando el apagado de los equipos y tableros.</t>
  </si>
  <si>
    <t xml:space="preserve">Se observa fuga en flange de caudalimetro. Se da aviso a funcionario de SS. 
Se realizó reconexión de transmisor de pulsos, ajuste manual. 
Se visualiza en plataforma el caudalimetro actual por ende se verá un peak en el gráfico hacia abajo en volumen a las 11:00hrs aprox.
Direcciones de volumen de agregan a software ecostruxture </t>
  </si>
  <si>
    <t xml:space="preserve">Se cierra válvula de piscina UG hacia piscina 3800 por solicitud de cliente. </t>
  </si>
  <si>
    <t xml:space="preserve">Se reinicia plc en PLL-02, ya que no actualizaba datos. 
Se agrega marca de reseteo en ecostruxture (M801) para que termine de contar y reinicie el ciclo. 
Sonda y caudalimetro funciona correctamente. 
Se solicita a operador tranque activar el pozo para realizar medición de caudal, resultando correcta la validación del dato en terreno con lo mostrado en plataforma.
Se actualiza en plataforma los valores del volumen en el punto asique mostrará un peak aprox a las 17:00hrs. </t>
  </si>
  <si>
    <t xml:space="preserve">Se realiza levantamiento Batimetrico para poder ingresar datos recopilados al software RQcommander.
Se procede a la configuración del equipo de lectura RQ30 quedando con los valores adquiridos en terreno, se aplican parámetros de los datos a recopilar y sus unidades de medida.
Se dejan funcionando los tableros con sistema fotovoltaico.
Solo resta la configuración en PLC para pronta transmisión de datos </t>
  </si>
  <si>
    <t xml:space="preserve">Reunión ampliada de seguridad
Se comenta que ya entrando en la recta final del año, tener ojo en la *”doble presencia”* que podríamos tener con nuestro personal antes de efectuar los trabajos tanto críticos como rutinarios, a que se refiere este concepto, que es estar físicamente en el trabajo pero con la mente en otro lugar, si sucede esto favor ser proactivos en escuchar y observar a nuestros compañeros respecto a actitudes u otros hallazgos que podamos tener, para así evitar condiciones de riesgo o accidentes. </t>
  </si>
  <si>
    <t>Se agrega el volumen acumulado total en rutina de PLC para que se pueda reflejar en plataforma. 
Observaciones 
Flange de caudalimetro aún sigue con fuga</t>
  </si>
  <si>
    <t xml:space="preserve">Se agrega el volumen acumulado total en rutina de PLC para que se pueda reflejar en plataforma. 
Misma configuración qué en PLL-01 </t>
  </si>
  <si>
    <t>Se rescata las configuraciones del uc300 para proceder de la misma manera en Estero el gallo</t>
  </si>
  <si>
    <t xml:space="preserve">Se realizan configuraciones de sonda multiparametrica, RQ30, y del punto por completo.
Se agregan rutinas de lectura al PLC, y se deja transmitiendo en plataforma todas las variables correspondientes. </t>
  </si>
  <si>
    <t>Ejecución de trabajos para la recuperación de transmisión telemetria en sala 2700, los trabajos fueron los siguientes:
- Instalación antena satelital starlink para poder conectar equipo router a plataforma y recuperar transmisión. Se logra el objetivo y se envian datos a plataforma correctamente. 
- Cambio de baterías respaldo UPS tablero satelital ya que originales se encontraban degradadas.
- Lectura de estados red eléctrica general de la sala de bombas y alimentación inversor hacia tableros WeTechs.</t>
  </si>
  <si>
    <t xml:space="preserve">- Lectura de estados red eléctrica general de la sala de bombas y alimentación inversor hacia tableros WeTechs.
- Configuración parámetros inversor y correccionde circuito hacia baterías las cuales no estaban cargando correctamente. </t>
  </si>
  <si>
    <t>Se realiza contrastación de caudalimetro E, se logra hacer mediciones y registrar fotograficamente los resultados. Las mediciones arrojan un desfase de aproximadamente 60l/s entre el equipo patrón y el instrumento en terreno.</t>
  </si>
  <si>
    <t xml:space="preserve">Se realizo inspección en equipo estero el gallo, pantalla se encuentra con problemas </t>
  </si>
  <si>
    <t xml:space="preserve">Se realizo cambio de sonda multiparametrica, además se da revisión de su correcto funcionamiento. </t>
  </si>
  <si>
    <t xml:space="preserve">Se realiza inspección visual.
Se realizo configuración en plc para dejar caudalimetro leyendo correctamente. 
Se revisa además la instalación que realizaron para instalación de ventosa.
El caudal hacia APR quedo entre 8 y 10 litros por segundo. </t>
  </si>
  <si>
    <t>Nos dirigimos al punto después que don Nicolas Valenzuela nos pidiera revisión. Ya que LGO tranque le daba partida a la bomba y no aparecía flujo en estanques del melon.
Nos dimos cuenta que al realizar pruebas en conjunto con LGO tranque la bomba no está en funcionamiento aún haci dando partida.
Quedó de enviar a un eléctrico de turno a ver si puede ser un problema eléctrico etc.
Además nos percatamos que pirton del recinto está solo con un cable , no con un candado.</t>
  </si>
  <si>
    <t xml:space="preserve">LGO tranque nos pidió revisión del pozo los litres 5 ya que en plataforma no le aparece caudal. 
Se realizo la instalación del transmisor de pulsos  y se soluciona el problema. </t>
  </si>
  <si>
    <t>Debido a que bajó el caudal en plataforma nos dirigimos a chequear pozos de barrera hidráulica desde el pozo 17 hasta el pozo 20.
Pozo 20 se encontraba restringida la válvula. 
Demás pozos ok.</t>
  </si>
  <si>
    <t xml:space="preserve">Se realiza configuración del transmisor teledyne isco signature.
Se logra establecer comunicación entre transmisor y uc300 para obtener lecturas. En terreno el trabajo esta listo transmitiendo la información solamente falta cargarlos en plataforma.
Las variables a leer son
Caudal
Volumen
Velocidades
Nivel
Para ambas descargas </t>
  </si>
  <si>
    <t xml:space="preserve">No se encontraba actualizando en plataforma y se acude al punto a verificar la situación. 
Se detecta válvula vortex trabada. 
Se revisa programa de PLC 
</t>
  </si>
  <si>
    <t>Se detecta fuga de agua en el punto a través de la base de cemento del pozo</t>
  </si>
  <si>
    <t>A solicitud de cliente, se realiza ronda de inspección de nuevos medidores de presión recientemente instalados, para conocer presiones en condiciones normales de trabajo.
Subsiguiente a dicha solicitud, se realiza pruebas de funcionamiento en línea matriz de BH TRET, desconectando suministro de agua hacia pozos de inyección en arranque de PI-16, obteniendo caudal de trabajo en vacío (sin inyección), dicho trabajo fue efectuado en conjunto con empresa SS.
Los datos obtenido de trabajo en vacío son los siguiente:
- Caudal: tuvo una fluctuación entre 19 a 19,5 l/s durante las pruebas, obteniendo un peak de 56 l/s.
- Presión: tuvo una presión estable de 5,8 bar durante las pruebas.</t>
  </si>
  <si>
    <t>Se realiza visita a recinto, el cual se obtiene largo de cable sensor hidrostatico, el cual es de 20mts.</t>
  </si>
  <si>
    <t>Se realiza configuraciones de equipo TELEDYNE ISCO SIGNATURE FLOWMETER y con apoyo de Tomás Bustamante (A&amp;H), se realiza lecturas de variables modbus del equipo ISCO con software modscan, obteniendo comunicación modbus.
Posteriormente, se realiza configuración de UC-300 y se obtienen mismas lecturas modbus a través de software Toolbox, por lo cual se deja leyendo equipo con las variables correspondientes, transmitiendo a palataforma dichas variables.</t>
  </si>
  <si>
    <t>Instalación de UPS en sala 2700 para el respaldo del sistema de telemetría, el equipo se instala dentro de uno de los tableros del banco de baterías. 
Retiro de inversor para su revisión y pruebas en laboratorio.
Adicionalmente se regulariza aldaba de tablero UPS en sala 2400.</t>
  </si>
  <si>
    <t>Se realizó toma de datos manual de nivel dinámico del recinto con pozometro.</t>
  </si>
  <si>
    <t>Se realizo medición del largo sensor de nivel.</t>
  </si>
  <si>
    <t xml:space="preserve">Se realizo medición del largo sensor. </t>
  </si>
  <si>
    <t xml:space="preserve">Se realiza medición del largo de sensor </t>
  </si>
  <si>
    <t>Se realiza medición del largo sensor.</t>
  </si>
  <si>
    <t>Se realizo medición de sensor de nivel 
Además se realizo revisión de conexión de transmisor de pulsos, ya que eléctrico de turno que se encontraba en el recinto nos informa que hace una semana se había realizado el cambio de caudalimetro por uno nuevo.</t>
  </si>
  <si>
    <t xml:space="preserve">Se realizo medición del largo de sensor de nivel </t>
  </si>
  <si>
    <t>Verificación de funcionamiento UPS instalada y pruebas de corte de energía, se analizan parámetros del equipo los cuales se muestran correctos.
Pruebas de verificacion de voltaje de alimentación del cliente el cual durante pratida, funcionamiento y parada de bombas este fluctúa de 219V a 242V. Estos voltajes sin duda están afectando el funcionamiento del inversor, se levanta información internamente.
Retiro del inversor para su análisis en laboratorio de la oficina, retiro de 2 baterias de 10AH.
Revisión de datalogger de caudalimetro B el cual no está registrando bien los datos según configuración establecida.</t>
  </si>
  <si>
    <t xml:space="preserve">Instalación de UPS de respaldo para el sistema de telemetria, se deja alimentado el equipo y se efectua prueba de corte de energia el cual resulta exitoso.
Desconexion del inversor (conexionado) para su posterior retiro.
Revisión del logeo de datos en caudalimetros A, C y E.
Alineación de antena starlink la cual queda conectada y entregando comunicación en base a parámetros de aplicación. </t>
  </si>
  <si>
    <t>Por solicitud, se realizo inspección de rebalse caudal 100% hacia estero.
Se realizo inspección de válvulas qué estén 100% cortadas desde piscina ug hacia piscina 3800 y piscina 4.000.</t>
  </si>
  <si>
    <t xml:space="preserve">Por solicitud se revisa el caudal hacia la piscina 3800 desde veta blanca y que la válvula esté al 100% el ingreso a la piscina </t>
  </si>
  <si>
    <t xml:space="preserve">Se realizo la medición de los sensor de nivel de los pozos el Melon.
En pozo PEM  03 nos encontramos con la sorpresa que bandalizaron el panel solar del recinto. </t>
  </si>
  <si>
    <t>Realizamos medición del sensor de nivel del pozo P3a y P3b</t>
  </si>
  <si>
    <t xml:space="preserve">Se visita recinto para habilitación de telemetría ETWe.
Se instala Gateway Dragino y Antena LoRa, equipos fueron suministrado por Felipe Rosas de Fundación AA.
Luego del montaje de los equipos realizado con apoyo de SmartWater se procede a configurar equipos </t>
  </si>
  <si>
    <t xml:space="preserve">Se realiza alineación de antenas </t>
  </si>
  <si>
    <t xml:space="preserve">Se realizo mantenimiento preventivo. 
Limpieza de panel solar.
Reapriete de conexionado.
Mediciones de voltaje. </t>
  </si>
  <si>
    <t>Se realizo en cada punto la toma de dato. Nro de serie de cada sonda.</t>
  </si>
  <si>
    <t xml:space="preserve">Se realiza cambio de tarjeta SD en transmisor de caudalimetro no invasivo para la verificación de guardado de datos.
La instalada previamente no registró datos asique con este cambio se verificará el día jueves si realiza la función de guardado y estar configurado de manera correcta cada 1 hora. </t>
  </si>
  <si>
    <t xml:space="preserve">Se detecta que no realizo guardado de datos al comienzo y luego del cambio de SD, se hizo configuración de transmisor cada 30 segundos y si pudo guardar datos.
Se debe revisar el día jueves si es que pudo guardar datos cada 30 minutos.
En los puntos de caudalimetro C y A se realiza la misma tarea de seteaelo cada 30 minutos. </t>
  </si>
  <si>
    <t xml:space="preserve">Se realiza retiro de inversor para posterior evaluación en laboratorio We.
Se realiza chequeo de loggeo de datos en caudalimetro E, funciona correctamente.
</t>
  </si>
  <si>
    <t xml:space="preserve">El transmisor queda registrando datos cada 30 minutos.
Se realiza cambio de tarjeta SD y reseteo de transmisor con su respectiva configuración.
Los registros se guardaron en computador para posterior compartir a equipo de reportabilidad </t>
  </si>
  <si>
    <t xml:space="preserve">En los caudalimetros A y C:
El transmisor queda registrando datos cada 30 minutos en ambos puntos. 
Se realiza cambio de tarjeta SD nuevas desde oficina y reseteo de transmisor con su respectiva configuración.
Los registros se guardaron en computador para posteriormente compartir a equipo de reportabilidad.
En caudalimetro E no se presentan observaciones y queda seteado correctamente. </t>
  </si>
  <si>
    <t>Por orden del cliente se realiza toma de fotografías del estado de piscina 4000</t>
  </si>
  <si>
    <t>Se realizo aumento de caudal en pozo PI 17 Y además inspección de pozo PI 20 ya había rebalse del pozo</t>
  </si>
  <si>
    <t>Se realizo mantenimiento preventivo, limpieza de panel reapriete de cables y limpieza de tableros</t>
  </si>
  <si>
    <t>Se realizó una visita a terreno debido a un defecto en el funcionamiento del sistema en modo automático en Weapp.  Durante la intervención se efectuaron pruebas a nivel de programación PLC, complementadas con validaciones desde la plataforma We-Techs, detectándose inconsistencias en el comportamiento del sistema web.
Se procedió a la corrección de registros y configuraciones en la plataforma, asegurando el correcto funcionamiento de los comandos remotos de control. 
Posteriormente, se realizaron pruebas de operación, verificando el comportamiento esperado del sistema, el cual queda operativo y funcionando correctamente.</t>
  </si>
  <si>
    <t xml:space="preserve">Se visita recinto con el fin de revisar la comunicación con plataforma Etwe.
Para mejorar la estabilidad de comunicación del recinto se realiza la actualización de firmware de teltonika RUT955.
Adicionalmente se instala nueva antena de red celular que fue suministrada por personal de SmartWater.
</t>
  </si>
  <si>
    <t xml:space="preserve">Se realizo inspección visual y mantenimiento de cada punto. Mantenimiento tablero planta solar y tablero de telemetria PI 20
</t>
  </si>
  <si>
    <t xml:space="preserve">Se realiza recambio de fuente 24-12V para energización de sutron xlink500. 
Se recambia el regulador de carga Epever LS1024B. 
Luego de la energización, se realiza validación de datos en terreno para poder empezar la transmisión a través de la plataforma We.
Los datos reflejados en plataforma son PH, Temperatura, Conductividad y Nivel.
</t>
  </si>
  <si>
    <t xml:space="preserve">Se almacenan sondas Multiparamétricas dentro de container (7), además de la cantidad de baterías y cajas estanco dejadas en bodega de oficina. </t>
  </si>
  <si>
    <t>Se realizo revisión e inspección del recinto,  el cual se encuentra sin término de la instalación de bomba. Se realizo chequeo y no se encuentra con red eléctrica el recinto.
Se realizo trabajo administrativo.</t>
  </si>
  <si>
    <t xml:space="preserve">En base al cambio de flujometro realizado por empresa Quinta el día 28/11/25, se efectua el reconexionado de la lectura modbus en el equipo y su configuración para la recuperación de la lectura en telemetria. </t>
  </si>
  <si>
    <t>Se corrige la inconsistencia de pozo dado que variable de bomba funcionando no cambiaba de estado por un fallo en rele del wecontrol, se hace el cambio del consumible corrigiendo el error.
Como observación se debe regularizar aldaba y tapa de tablero wecontrol.</t>
  </si>
  <si>
    <t>Falla de pozo seco el cual se encontraba activo en plataforma no refleja el estado real en terreno. Junto con apoyo electrico AA se accede a tablero de fuerza y se encuentra que el estado está conectado inversamente en la protección se regulariza la situación y se despeja la falla.</t>
  </si>
  <si>
    <t>Se regulariza inconsistencia de pozo dado que caudal tiene intervalos de valor 0 mientras la bomba funciona, la lectura modbus presenta un error en programación el cual es regularizado y se valida el caudal en terreno.</t>
  </si>
  <si>
    <t>Se realizo check list de herramientas. 
Se realiza marca de herramientas con 3 cintas correspondientes al mes de diciembre.</t>
  </si>
  <si>
    <t>Se realizo mantenimiento preventivo. Limpieza de panel solar.
Se decide no seguir con la ejecución por la presencia de avispas.</t>
  </si>
  <si>
    <t>Se realizo mantenimiento preventivo, limpieza devpanel solar.
Limpieza de tableros, reapriete de terminales, mediciones de voltajes en batería, panel y componentes. 
Además se realizo instalación de códigos QR.</t>
  </si>
  <si>
    <t>Se realizo mantenimiento preventivo en el punto.
Realizamos limpieza de panel solar, limpieza de tablero, reapriete de terminales.
Además Realizamos reemplazo de transmisor de pulsos del caudalimetro ya que estaba malo.</t>
  </si>
  <si>
    <t>Se registra el valor de profundidad del pozo hasta el espejo de agua siendo de 73 metros
Los valores obtenidos se informan a área de automatización para reflejarlo en plataforma</t>
  </si>
  <si>
    <t xml:space="preserve">Se reemplazan tarjetas SD de raspberry para obtener datos de telemetria. 
Las tarjetas de visualizaran el viernes con equipo de automatización.
El punto se encontraba desenergizado asique se debe verificar funcionamiento correcto cuando vuelva a estar operativo
Se designan los tableros con código qr correspondiente para tener la exactitud de lo implementado.
</t>
  </si>
  <si>
    <t xml:space="preserve">Se reemplazan tarjetas SD de raspberry para obtener datos de telemetria. 
Se verifica funcionamiento con equipo de automatización para poder dejar transmitiendo y obteniendo lecturas de manera correcta en el punto
Observaciones
Muchos insectos (panales)
Tablero solar se encuentra desconectado
No se logra identificar tableros ya que no correspondía la designación asignada. </t>
  </si>
  <si>
    <t xml:space="preserve">43 mts esta instalado el sensor hidrostatico 
Y el pozometro sonó a los 4,10m. 
Se realiza limpieza al flowcell de la sonda multiparamétrica en el punto. 
Se anota en Excel interno volumen, Caudal, número de sensor, rango, se revisa programación para corroborar que esta actualizando los datos en el plc. </t>
  </si>
  <si>
    <t xml:space="preserve">6,16m suena el pozometro
Se ajusta el sensor hidrostatico a nivel 0 de la superficie, se corrige el total en metros a través de la transformación de presión bar
Limpieza, reapriete, verificación de programas ecostruxture, que actualice los datos de sonda y de caudal(en funcionamiento) se actualiza  el volumen,limpieza de flowcell. </t>
  </si>
  <si>
    <t xml:space="preserve">PEM-06
Ajuste a zero de sensor en software control center series
Los pulsos y totalizador se actualizan en toolbox
Se rescatan y actualizan datos de sensor hidrostatico y se actualiza planilla Excel con datos del punto </t>
  </si>
  <si>
    <t xml:space="preserve">Se realiza inspección general de los puntos PI17, 18, 19 y 20.
Se encuentra fuga en el punto PI20 por el lado de radier del pozo. </t>
  </si>
  <si>
    <t>Se visita a recinto ya que cliente y operador mencionan no tener actualización de datos, en lo cual se realiza inspección visual de tableros y se percata que luz piloto y equipamientos se encuentran apagados. 
Se revisó analizador de red de tableros fuerza y se percata que en línea 3 se encuentra con bajo voltaje, 73,6VAC precisamente. 
Diagnóstico final, recinto se encuentra con una de las fases caída. Durante el día se recuperó recinto por parte de distribuidor eléctrico de la zona, obteniendo estabilidad de voltaje en la red eléctrica en sus 3 fases.</t>
  </si>
  <si>
    <t>Se visita recinto para presenciar trabajos avanzados en pozo, en lo cual, aún sigue sin conectarse a las red matriz, lo que explica el aún no presencia de red eléctrica en el recinto.
Pozo aún se encuentra en periodo de mantenimiento.</t>
  </si>
  <si>
    <t xml:space="preserve">Se realiza escolta a camión y acopio de materiales ingresados a Patio de tuberías los cuales corresponden a:
- 2 baterías de 200AH
- 3 paneles solares de 550W
- 1 inversor fotovoltaico. 
Se gestionan permisos para que empresa san Isidro pueda apoyarnos en realizar el montaje de andamios, así mismo el transporte de materiales al punto y así posteriormente montar la estructura de los paneles. 
</t>
  </si>
  <si>
    <t xml:space="preserve">Se realiza apoyo a camión pluma de GeoBarra para traslado de andamio hasta sala de bombas 2700. Se hace entrega de estructura andamio para su montaje por parte de empresa San Isidro.
Posterior a eso se acude con mismo camión de GeoBarra a Patio de tuberías para poder llevar paneles fotovoltaicos pero no es factible ya que deben estar paletizados con zunchos.
Finalmente se trasladaron baterías 200AH (2), accesorios para montaje de estructura fotovoltaica, inversor Epever y tablero We para aprovechar la cercanía al sector de riecillos, almacenando en sala de bombas 2700.
Se inspecciona montaje de estructura del andamio con apr y se toman medidas de la zona de trabajo
- Losa ancho 4.60mts
- Largo 12 mts
Observaciones 
Faltan uniones (12) para rieles de la estructura fotovoltaica se adjuntan imágenes </t>
  </si>
  <si>
    <t>Se realiza evaluación de trabajos para efectuar traslado de gateway de PEM-02 hacia Caseta El Melón, debido al mantenimiento prolongado en PEM-02 y pérdida de transmisión de datos en plataforma, en lo cual, para comenzar a ejecutar dichas labores, se debe contar con escalera con plataforma, ya que es factible dicho cambio.</t>
  </si>
  <si>
    <t>Se efectua el traslado de materiales necesarios para la implementacion de la solución solar en sala 2700. El traslado se efectua desde patio de tuberias a R2700 llevando los siguientes items:
- Rieles y ferreteria necesaria para la estructura de los paneles.
- 6 paneles solares.
Ademas se realiza la ultima inspección del andamiaje armado en la sala, esta vez se analiza la estructura superior luego d ela mejora implementada por la empresa San Isidro.</t>
  </si>
  <si>
    <t xml:space="preserve">Se realiza retiro de antena Gateway del recinto PEM-02 para trasladarlo e instalar en el punto de Caseta el Melón.
Se realiza conexión de comunicación, comprobación de transmisión de datos de los distintos nodos en sector el melón.
Reemplazo de tarjeta SD para los microservicios y para evaluación del equipo de automatización. </t>
  </si>
  <si>
    <t xml:space="preserve">Traslado final de materiales restantes de patio de tuberias a 3050 y perfil a 2700. Izaje de materiales a loza superior con apoyo de camion pluma.
Se inicia con el armado de la estructura de.la solucion solar.
Realizaci9n de curso inducción STP.
</t>
  </si>
  <si>
    <t>Instalacion completa de las estructuras de soportacion de los paneles, montaje de paneles y conexionado entre estos. 
Canalizaciones en loza y bajada a nivel de suelo para ingreso de la alimentación fotovoltaica a tableros We Techs.</t>
  </si>
  <si>
    <t>Se finalizan canalizaciones y conexionado de los paneles además del montaje del inversor y llegada de la alimentación solar al mismo.
La configuración de la solución solar es mixta siendo 2 grupos de 3 paneles conectados en serie.
Configuración de parametros en inversor y pruebas de la alimentación con y sin red electrica manteniendo el suministro fotovoltaico de forma permanente.
Cabe indicar que la UPS de respaldo quedo fuera del sistema ya que se debe evaluar con IOT la mejor forma de conectar el equipo. Por otro lado solo quedan 2 baterias instaladas ya que falta tablero extra para dejarlas debidamente protegidas y funcionando.</t>
  </si>
  <si>
    <t xml:space="preserve">Caseta el melon
Se realiza limpieza exterior e interior del tablero, reapriete de terminales. 
Se retiran 2 baterías de 12V del punto caseta el melón, ya que estaban inglsda0, sulfatados, cables reventados y sin borne. Midiendo una batería nos da 10V y la otra 0V siendo necesario el reemplazo de éstas. 
Metro cúbico hora 
A litros por segundo se comparan en plataforma u software de PLC y son correctos.
Se realiza limpieza de caudalimetros
Observaciones
Se debe reemplazar baterías de 12V y cableado </t>
  </si>
  <si>
    <t>Limpieza de tablero, reapriete de terminales e instrumentación
Actualización de volumen del caudalimetro a través del software toolbox. 
Contraste de valores en plataforma y en terreno siendo correctos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</si>
</sst>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2" fillId="0" borderId="1" xfId="0" applyFont="1" applyBorder="1"/>
    <xf numFmtId="0" fontId="2" fillId="3" borderId="1" xfId="0" applyFont="1" applyFill="1" applyBorder="1"/>
    <xf numFmtId="0" fontId="0" fillId="0" borderId="1" xfId="0" applyNumberFormat="1" applyBorder="1" applyAlignment="1">
      <alignment horizontal="center"/>
    </xf>
    <xf numFmtId="0" fontId="0" fillId="3" borderId="1" xfId="0" applyNumberFormat="1" applyFill="1" applyBorder="1" applyAlignment="1">
      <alignment horizontal="center"/>
    </xf>
    <xf numFmtId="0" fontId="2" fillId="0" borderId="4" xfId="0" applyNumberFormat="1" applyFont="1" applyBorder="1" applyAlignment="1">
      <alignment horizontal="center"/>
    </xf>
    <xf numFmtId="0" fontId="2" fillId="0" borderId="5" xfId="0" applyNumberFormat="1" applyFont="1" applyBorder="1" applyAlignment="1">
      <alignment horizontal="center"/>
    </xf>
    <xf numFmtId="0" fontId="2" fillId="0" borderId="7" xfId="0" applyNumberFormat="1" applyFont="1" applyBorder="1" applyAlignment="1">
      <alignment horizontal="center"/>
    </xf>
    <xf numFmtId="0" fontId="2" fillId="3" borderId="7" xfId="0" applyNumberFormat="1" applyFont="1" applyFill="1" applyBorder="1" applyAlignment="1">
      <alignment horizontal="center"/>
    </xf>
    <xf numFmtId="0" fontId="2" fillId="0" borderId="3" xfId="0" applyNumberFormat="1" applyFont="1" applyBorder="1" applyAlignment="1">
      <alignment horizontal="center"/>
    </xf>
    <xf numFmtId="0" fontId="2" fillId="0" borderId="6" xfId="0" applyNumberFormat="1" applyFont="1" applyBorder="1" applyAlignment="1">
      <alignment horizontal="center"/>
    </xf>
    <xf numFmtId="0" fontId="0" fillId="0" borderId="0" xfId="0" applyNumberFormat="1"/>
    <xf numFmtId="0" fontId="2" fillId="0" borderId="3" xfId="0" applyFont="1" applyBorder="1"/>
    <xf numFmtId="0" fontId="2" fillId="0" borderId="1" xfId="0" pivotButton="1" applyFont="1" applyBorder="1"/>
    <xf numFmtId="0" fontId="2" fillId="4" borderId="1" xfId="0" applyFont="1" applyFill="1" applyBorder="1"/>
    <xf numFmtId="0" fontId="0" fillId="4" borderId="1" xfId="0" applyNumberFormat="1" applyFill="1" applyBorder="1" applyAlignment="1">
      <alignment horizontal="center"/>
    </xf>
    <xf numFmtId="0" fontId="2" fillId="4" borderId="6" xfId="0" applyNumberFormat="1" applyFont="1" applyFill="1" applyBorder="1" applyAlignment="1">
      <alignment horizontal="center"/>
    </xf>
    <xf numFmtId="0" fontId="2" fillId="5" borderId="1" xfId="0" applyFont="1" applyFill="1" applyBorder="1"/>
    <xf numFmtId="0" fontId="0" fillId="5" borderId="1" xfId="0" applyNumberFormat="1" applyFill="1" applyBorder="1" applyAlignment="1">
      <alignment horizontal="center"/>
    </xf>
    <xf numFmtId="0" fontId="2" fillId="5" borderId="7" xfId="0" applyNumberFormat="1" applyFont="1" applyFill="1" applyBorder="1" applyAlignment="1">
      <alignment horizontal="center"/>
    </xf>
    <xf numFmtId="0" fontId="2" fillId="6" borderId="1" xfId="0" applyFont="1" applyFill="1" applyBorder="1"/>
    <xf numFmtId="0" fontId="0" fillId="6" borderId="1" xfId="0" applyNumberFormat="1" applyFill="1" applyBorder="1" applyAlignment="1">
      <alignment horizontal="center"/>
    </xf>
    <xf numFmtId="0" fontId="2" fillId="6" borderId="7" xfId="0" applyNumberFormat="1" applyFont="1" applyFill="1" applyBorder="1" applyAlignment="1">
      <alignment horizontal="center"/>
    </xf>
    <xf numFmtId="0" fontId="2" fillId="4" borderId="7" xfId="0" applyNumberFormat="1" applyFont="1" applyFill="1" applyBorder="1" applyAlignment="1">
      <alignment horizontal="center"/>
    </xf>
    <xf numFmtId="0" fontId="0" fillId="0" borderId="0" xfId="0" applyAlignment="1">
      <alignment horizontal="center"/>
    </xf>
  </cellXfs>
  <cellStyles count="1">
    <cellStyle name="Normal" xfId="0" builtinId="0"/>
  </cellStyles>
  <dxfs count="37">
    <dxf>
      <fill>
        <patternFill patternType="none">
          <fgColor indexed="64"/>
          <bgColor indexed="65"/>
        </patternFill>
      </fill>
    </dxf>
    <dxf>
      <fill>
        <patternFill patternType="solid">
          <fgColor rgb="FFFFC7CE"/>
          <bgColor rgb="FF000000"/>
        </patternFill>
      </fill>
    </dxf>
    <dxf>
      <font>
        <color rgb="FF9C0006"/>
      </font>
      <fill>
        <patternFill>
          <bgColor rgb="FFFFC7CE"/>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font>
        <b/>
      </font>
    </dxf>
    <dxf>
      <fill>
        <patternFill>
          <bgColor theme="9" tint="0.79998168889431442"/>
        </patternFill>
      </fill>
    </dxf>
    <dxf>
      <fill>
        <patternFill>
          <bgColor theme="9"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249977111117893"/>
        </patternFill>
      </fill>
    </dxf>
    <dxf>
      <fill>
        <patternFill patternType="solid">
          <bgColor theme="9" tint="-0.249977111117893"/>
        </patternFill>
      </fill>
    </dxf>
    <dxf>
      <font>
        <b/>
      </font>
    </dxf>
    <dxf>
      <font>
        <b/>
      </font>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Cuero" refreshedDate="46021.461728819442" createdVersion="8" refreshedVersion="8" minRefreshableVersion="3" recordCount="233" xr:uid="{BBEC2A76-1563-A34C-8364-D09029494BE4}">
  <cacheSource type="worksheet">
    <worksheetSource ref="A1:J234" sheet="reclasifiación ST"/>
  </cacheSource>
  <cacheFields count="9">
    <cacheField name="OT" numFmtId="0">
      <sharedItems containsSemiMixedTypes="0" containsString="0" containsNumber="1" containsInteger="1" minValue="78" maxValue="342"/>
    </cacheField>
    <cacheField name="Fecha" numFmtId="14">
      <sharedItems containsSemiMixedTypes="0" containsNonDate="0" containsDate="1" containsString="0" minDate="2025-08-25T00:00:00" maxDate="2025-12-20T00:00:00"/>
    </cacheField>
    <cacheField name="Técnico" numFmtId="0">
      <sharedItems count="10">
        <s v="David  Loncopan"/>
        <s v="Elías Sanchez"/>
        <s v="Diego Marchant"/>
        <s v="Cristopher Iglesias "/>
        <s v="Camilo Sandoval"/>
        <s v="Leonardo Gonzalez"/>
        <s v="Tomás Bustamante"/>
        <s v="Juan José López"/>
        <s v="Matías Pomar"/>
        <s v="Emir Navarro Crocci"/>
      </sharedItems>
    </cacheField>
    <cacheField name="Cliente" numFmtId="0">
      <sharedItems count="12">
        <s v="ASP"/>
        <s v="AAES"/>
        <s v="AALB"/>
        <s v="AALT"/>
        <s v="Abastible"/>
        <s v="Viñas de Chicureo"/>
        <s v="Estadio español"/>
        <s v="Brisaguas"/>
        <s v="SSR Comité Manzanar"/>
        <s v="Fundación"/>
        <s v="Lipigas"/>
        <s v="We"/>
      </sharedItems>
    </cacheField>
    <cacheField name="Proyecto" numFmtId="0">
      <sharedItems count="27">
        <s v="ASP Pozos"/>
        <s v="Gestión Hídrica El Soldado"/>
        <s v="Los Bronces - Riecillos"/>
        <s v="Global Tórtolas"/>
        <s v="El Soldado Cachimba Relevadoras"/>
        <s v="El Soldado Cachimba El Cobre"/>
        <s v="Abastible - PSR La Estrella"/>
        <s v="SMA res 31 "/>
        <s v="Viñas de Chicureo"/>
        <s v="Estadio Español"/>
        <s v="Brisaguas - La Cruz"/>
        <s v="Gestión hidrica el soldado Reforestacion"/>
        <s v="SSR Comité Manzanar"/>
        <s v="APR Parcelación El Melón RP1"/>
        <s v="Lipigas PSR Quillayes"/>
        <s v="Resolucion 31 calidad de aguas "/>
        <s v="Resolución 31 monitoreo calidad de aguas "/>
        <s v="Resolución 31 monitoreo y calidad de aguas "/>
        <s v="Sala de control GNL Lipigas "/>
        <s v="Lipigas PSR Danone (Chillán)"/>
        <s v="Recursos Hidricos el soldado "/>
        <s v="Gestión hidrica el soldado "/>
        <s v="Gestión Hídrica El Soldado."/>
        <s v="Oficina We"/>
        <s v="APR Carmen San José"/>
        <s v="APR Los Caleos"/>
        <s v="AAES"/>
      </sharedItems>
    </cacheField>
    <cacheField name="Asset" numFmtId="0">
      <sharedItems/>
    </cacheField>
    <cacheField name="Tipo de trabajo anterior" numFmtId="0">
      <sharedItems/>
    </cacheField>
    <cacheField name="Tipo de trabajo nuevo" numFmtId="0">
      <sharedItems count="9">
        <s v="MC"/>
        <s v="MP"/>
        <s v="C"/>
        <s v="I"/>
        <s v="CF"/>
        <s v="SO"/>
        <s v="LT"/>
        <s v="MP, MC" u="1"/>
        <s v="I,C" u="1"/>
      </sharedItems>
    </cacheField>
    <cacheField name="Causa visit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
  <r>
    <n v="78"/>
    <d v="2025-08-25T00:00:00"/>
    <x v="0"/>
    <x v="0"/>
    <x v="0"/>
    <s v="[ASP Pozos] Pozo 24"/>
    <s v="ST"/>
    <x v="0"/>
    <s v="Revisión pozo 24 caudalimetro "/>
  </r>
  <r>
    <n v="81"/>
    <d v="2025-08-25T00:00:00"/>
    <x v="1"/>
    <x v="1"/>
    <x v="1"/>
    <s v="[Gestión Hídrica El Soldado] Zona Veta Blanca Nodo Piscina 4000"/>
    <s v="ST"/>
    <x v="1"/>
    <s v="Mantenimiento preventivo a puntos de inyección "/>
  </r>
  <r>
    <n v="81"/>
    <d v="2025-08-25T00:00:00"/>
    <x v="1"/>
    <x v="1"/>
    <x v="1"/>
    <s v="[Gestión Hídrica El Soldado] Sector -300 Gateway"/>
    <s v="ST"/>
    <x v="1"/>
    <s v="Mantenimiento preventivo a puntos de inyección "/>
  </r>
  <r>
    <n v="83"/>
    <d v="2025-08-27T00:00:00"/>
    <x v="2"/>
    <x v="1"/>
    <x v="1"/>
    <s v="Bodega S. Recursos Hídricos "/>
    <s v="ST"/>
    <x v="2"/>
    <m/>
  </r>
  <r>
    <n v="93"/>
    <d v="2025-09-02T00:00:00"/>
    <x v="1"/>
    <x v="1"/>
    <x v="1"/>
    <s v="[Gestión Hídrica El Soldado] Sector -300 Gateway"/>
    <s v="ST"/>
    <x v="1"/>
    <s v="Mantenimiento preventivo "/>
  </r>
  <r>
    <n v="93"/>
    <d v="2025-09-02T00:00:00"/>
    <x v="1"/>
    <x v="1"/>
    <x v="1"/>
    <s v="[Gestión Hídrica El Soldado] Pozo Los Litres N° 02 (PLL-02) Nodo A13"/>
    <s v="ST"/>
    <x v="1"/>
    <s v="Mantenimiento preventivo "/>
  </r>
  <r>
    <n v="94"/>
    <d v="2025-09-02T00:00:00"/>
    <x v="3"/>
    <x v="2"/>
    <x v="2"/>
    <s v="[Los Bronces - Riecillos] R3050 Caudalimetro C"/>
    <s v="ST"/>
    <x v="0"/>
    <s v="Revisión datos y estado R3050"/>
  </r>
  <r>
    <n v="94"/>
    <d v="2025-09-02T00:00:00"/>
    <x v="3"/>
    <x v="2"/>
    <x v="2"/>
    <s v="[Los Bronces - Riecillos] R3050 Caudalimetro A"/>
    <s v="ST"/>
    <x v="0"/>
    <s v="Revisión datos y estado R3050"/>
  </r>
  <r>
    <n v="94"/>
    <d v="2025-09-02T00:00:00"/>
    <x v="3"/>
    <x v="2"/>
    <x v="2"/>
    <s v="[Los Bronces - Riecillos] R3050 Caudalimetro E"/>
    <s v="ST"/>
    <x v="0"/>
    <s v="Revisión datos y estado R3050"/>
  </r>
  <r>
    <n v="94"/>
    <d v="2025-09-02T00:00:00"/>
    <x v="3"/>
    <x v="2"/>
    <x v="2"/>
    <s v="[Los Bronces - Riecillos] R3050 Gateway"/>
    <s v="ST"/>
    <x v="0"/>
    <s v="Revisión datos y estado R3050"/>
  </r>
  <r>
    <n v="95"/>
    <d v="2025-09-02T00:00:00"/>
    <x v="4"/>
    <x v="3"/>
    <x v="3"/>
    <s v="[Global Tórtolas] Pozo O4B"/>
    <s v="ST"/>
    <x v="3"/>
    <s v="Instalación, revisión y pruebas de funcionamiento de sondas multiparamétricas "/>
  </r>
  <r>
    <n v="96"/>
    <d v="2025-09-02T00:00:00"/>
    <x v="4"/>
    <x v="3"/>
    <x v="3"/>
    <s v="[Global Tórtolas] Pozo O4B"/>
    <s v="ST"/>
    <x v="3"/>
    <s v="Instalación, revisión y pruebas de funcionamiento de sondas_x000a_multiparamétricas"/>
  </r>
  <r>
    <n v="97"/>
    <d v="2025-09-02T00:00:00"/>
    <x v="1"/>
    <x v="1"/>
    <x v="1"/>
    <s v="[Gestión Hídrica El Soldado] Sector -300 Gateway"/>
    <s v="ST"/>
    <x v="1"/>
    <s v="Mantenimiento preventivo/ cambio de sonda multiparamétrica "/>
  </r>
  <r>
    <n v="101"/>
    <d v="2025-09-03T00:00:00"/>
    <x v="1"/>
    <x v="1"/>
    <x v="1"/>
    <s v="[Gestión Hídrica El Soldado] Mina UG Canaleta Mina Planta"/>
    <s v="ST"/>
    <x v="3"/>
    <s v="Instalación / soporte"/>
  </r>
  <r>
    <n v="101"/>
    <d v="2025-09-03T00:00:00"/>
    <x v="1"/>
    <x v="1"/>
    <x v="4"/>
    <s v="[El Soldado Cachimba Relevadoras] Cachimba Relevadoras"/>
    <s v="ST"/>
    <x v="3"/>
    <s v="Instalación / soporte"/>
  </r>
  <r>
    <n v="101"/>
    <d v="2025-09-03T00:00:00"/>
    <x v="1"/>
    <x v="1"/>
    <x v="5"/>
    <s v="[El Soldado Cachimba El Cobre] El Soldado Cachimba el Cobre"/>
    <s v="ST"/>
    <x v="3"/>
    <s v="Instalación / soporte"/>
  </r>
  <r>
    <n v="101"/>
    <d v="2025-09-03T00:00:00"/>
    <x v="1"/>
    <x v="1"/>
    <x v="1"/>
    <s v="[Gestión Hídrica El Soldado] Piscina 3800 desde V.B"/>
    <s v="ST"/>
    <x v="3"/>
    <s v="Instalación / soporte"/>
  </r>
  <r>
    <n v="101"/>
    <d v="2025-09-03T00:00:00"/>
    <x v="1"/>
    <x v="1"/>
    <x v="1"/>
    <s v="[Gestión Hídrica El Soldado] PM-4 Nodo B20"/>
    <s v="ST"/>
    <x v="3"/>
    <s v="Instalación / soporte"/>
  </r>
  <r>
    <n v="105"/>
    <d v="2025-09-05T00:00:00"/>
    <x v="4"/>
    <x v="1"/>
    <x v="1"/>
    <s v="[Gestión Hídrica El Soldado] Zona Veta Blanca Gateway ZM"/>
    <s v="ST"/>
    <x v="3"/>
    <s v="Instalación de Tablero Lora e integración de instrumento caudalimetro"/>
  </r>
  <r>
    <n v="105"/>
    <d v="2025-09-05T00:00:00"/>
    <x v="4"/>
    <x v="1"/>
    <x v="1"/>
    <s v="[Gestión Hídrica El Soldado] Sector -300 Gateway"/>
    <s v="ST"/>
    <x v="3"/>
    <s v="Instalación de Tablero Lora e integración de instrumento caudalimetro"/>
  </r>
  <r>
    <n v="110"/>
    <d v="2025-09-06T00:00:00"/>
    <x v="4"/>
    <x v="4"/>
    <x v="6"/>
    <s v="[Abastible - PSR La Estrella] Abastible - PSR La Estrella"/>
    <s v="ST"/>
    <x v="0"/>
    <s v="Retiro y cambio de sondas multiparametricas "/>
  </r>
  <r>
    <n v="110"/>
    <d v="2025-09-06T00:00:00"/>
    <x v="4"/>
    <x v="1"/>
    <x v="1"/>
    <s v="[Gestión Hídrica El Soldado] Estero El Cobre (ET-0F) Nodo B"/>
    <s v="ST"/>
    <x v="0"/>
    <s v="Retiro y cambio de sondas multiparametricas "/>
  </r>
  <r>
    <n v="110"/>
    <d v="2025-09-06T00:00:00"/>
    <x v="4"/>
    <x v="1"/>
    <x v="1"/>
    <s v="[Gestión Hídrica El Soldado] Pozo N° 3A (P3A) Nodo B1"/>
    <s v="ST"/>
    <x v="0"/>
    <s v="Retiro y cambio de sondas multiparametricas "/>
  </r>
  <r>
    <n v="111"/>
    <d v="2025-09-08T00:00:00"/>
    <x v="5"/>
    <x v="1"/>
    <x v="1"/>
    <s v="[Gestión Hídrica El Soldado] PM-2 Nodo B18"/>
    <s v="ST"/>
    <x v="1"/>
    <s v="Mantenimiento preventivo "/>
  </r>
  <r>
    <n v="111"/>
    <d v="2025-09-08T00:00:00"/>
    <x v="5"/>
    <x v="1"/>
    <x v="1"/>
    <s v="[Gestión Hídrica El Soldado] Pozo El Melón N° 01 (PEM-01) Nodo"/>
    <s v="ST"/>
    <x v="1"/>
    <s v="Mantenimiento preventivo "/>
  </r>
  <r>
    <n v="111"/>
    <d v="2025-09-08T00:00:00"/>
    <x v="5"/>
    <x v="1"/>
    <x v="1"/>
    <s v="[Gestión Hídrica El Soldado] Pozo Los Litres N° 05 (PLL-05)"/>
    <s v="ST"/>
    <x v="1"/>
    <s v="Mantenimiento preventivo "/>
  </r>
  <r>
    <n v="114"/>
    <d v="2025-09-04T00:00:00"/>
    <x v="3"/>
    <x v="2"/>
    <x v="2"/>
    <s v="[Los Bronces - Riecillos] R2700 Caudalimetro B"/>
    <s v="ST"/>
    <x v="4"/>
    <s v="Visita R2700 - Los Bronces "/>
  </r>
  <r>
    <n v="114"/>
    <d v="2025-09-04T00:00:00"/>
    <x v="3"/>
    <x v="2"/>
    <x v="2"/>
    <s v="[Los Bronces - Riecillos] R2700 Gateway"/>
    <s v="ST"/>
    <x v="4"/>
    <s v="Visita R2700 - Los Bronces "/>
  </r>
  <r>
    <n v="115"/>
    <d v="2025-09-03T00:00:00"/>
    <x v="3"/>
    <x v="2"/>
    <x v="2"/>
    <s v="[Los Bronces - Riecillos] R3050 Caudalimetro C"/>
    <s v="ST"/>
    <x v="4"/>
    <s v="Visita R3050 - Los Bronces"/>
  </r>
  <r>
    <n v="115"/>
    <d v="2025-09-03T00:00:00"/>
    <x v="3"/>
    <x v="2"/>
    <x v="2"/>
    <s v="[Los Bronces - Riecillos] R3050 Caudalimetro A"/>
    <s v="ST"/>
    <x v="4"/>
    <s v="Visita R3050 - Los Bronces"/>
  </r>
  <r>
    <n v="115"/>
    <d v="2025-09-03T00:00:00"/>
    <x v="3"/>
    <x v="2"/>
    <x v="2"/>
    <s v="[Los Bronces - Riecillos] R3050 Caudalimetro E"/>
    <s v="ST"/>
    <x v="4"/>
    <s v="Visita R3050 - Los Bronces"/>
  </r>
  <r>
    <n v="117"/>
    <d v="2025-09-10T00:00:00"/>
    <x v="1"/>
    <x v="3"/>
    <x v="7"/>
    <s v="Oficina"/>
    <s v="ST"/>
    <x v="3"/>
    <s v="Montaje de cilindro para sonda multiparamétrica."/>
  </r>
  <r>
    <n v="118"/>
    <d v="2025-09-10T00:00:00"/>
    <x v="5"/>
    <x v="1"/>
    <x v="1"/>
    <s v="[Gestión Hídrica El Soldado] Sector -300 Gateway"/>
    <s v="ST"/>
    <x v="1"/>
    <s v="Mantenimiento preventivo "/>
  </r>
  <r>
    <n v="118"/>
    <d v="2025-09-10T00:00:00"/>
    <x v="5"/>
    <x v="1"/>
    <x v="1"/>
    <s v="[Gestión Hídrica El Soldado] Pozo El Melón N° 01 (PEM-01) Nodo"/>
    <s v="ST"/>
    <x v="1"/>
    <s v="Mantenimiento preventivo "/>
  </r>
  <r>
    <n v="119"/>
    <d v="2025-09-10T00:00:00"/>
    <x v="2"/>
    <x v="1"/>
    <x v="1"/>
    <s v="[Gestión Hídrica El Soldado] Pozo N° 3B (P3B) Nodo B4"/>
    <s v="ST"/>
    <x v="5"/>
    <s v="Conexionado de instrumentación y mantenimiento preventivo."/>
  </r>
  <r>
    <n v="123"/>
    <d v="2025-09-12T00:00:00"/>
    <x v="5"/>
    <x v="1"/>
    <x v="1"/>
    <s v="[Gestión Hídrica El Soldado] Pozo N° 3B (P3B) Nodo B4"/>
    <s v="ST"/>
    <x v="1"/>
    <s v="Mantenimiento preventivo "/>
  </r>
  <r>
    <n v="123"/>
    <d v="2025-09-12T00:00:00"/>
    <x v="5"/>
    <x v="1"/>
    <x v="1"/>
    <s v="[Gestión Hídrica El Soldado] Pozo Los Litres N° 05 (PLL-05)"/>
    <s v="ST"/>
    <x v="5"/>
    <s v="Mantenimiento preventivo "/>
  </r>
  <r>
    <n v="123"/>
    <d v="2025-09-12T00:00:00"/>
    <x v="5"/>
    <x v="1"/>
    <x v="1"/>
    <s v="[Gestión Hídrica El Soldado] Dren de Cap de Inflil (AO-1) Gateway B"/>
    <s v="ST"/>
    <x v="1"/>
    <s v="Mantenimiento preventivo "/>
  </r>
  <r>
    <n v="126"/>
    <d v="2025-09-13T00:00:00"/>
    <x v="5"/>
    <x v="1"/>
    <x v="1"/>
    <s v="[Gestión Hídrica El Soldado] Dren de Cap de Inflil (AO-1) Gateway B"/>
    <s v="ST"/>
    <x v="1"/>
    <s v="Mantenimiento preventivo "/>
  </r>
  <r>
    <n v="126"/>
    <d v="2025-09-13T00:00:00"/>
    <x v="5"/>
    <x v="1"/>
    <x v="1"/>
    <s v="[Gestión Hídrica El Soldado] Zona Veta Blanca Gateway ZM"/>
    <s v="ST"/>
    <x v="5"/>
    <s v="Mantenimiento preventivo "/>
  </r>
  <r>
    <n v="126"/>
    <d v="2025-09-13T00:00:00"/>
    <x v="5"/>
    <x v="1"/>
    <x v="1"/>
    <s v="[Gestión Hídrica El Soldado] Zona Veta Blanca Gateway ZM"/>
    <s v="ST"/>
    <x v="1"/>
    <s v="Mantenimiento preventivo "/>
  </r>
  <r>
    <n v="130"/>
    <d v="2025-09-16T00:00:00"/>
    <x v="0"/>
    <x v="5"/>
    <x v="8"/>
    <s v="[Viñas de Chicureo] Estanque"/>
    <s v="ST"/>
    <x v="0"/>
    <s v="Revisión en terreno de impacto de la incidencia de nivel de estanque producto retardo de RC"/>
  </r>
  <r>
    <n v="130"/>
    <d v="2025-09-16T00:00:00"/>
    <x v="0"/>
    <x v="5"/>
    <x v="8"/>
    <s v="[Viñas de Chicureo] Pozo 1"/>
    <s v="ST"/>
    <x v="0"/>
    <s v="Revisión en terreno de impacto de la incidencia de nivel de estanque producto retardo de RC"/>
  </r>
  <r>
    <n v="132"/>
    <d v="2025-09-16T00:00:00"/>
    <x v="6"/>
    <x v="6"/>
    <x v="9"/>
    <s v="[Estadio Español] Estanques B.Elev"/>
    <s v="ST"/>
    <x v="0"/>
    <s v="Revisión señal caudalimetro"/>
  </r>
  <r>
    <n v="143"/>
    <d v="2025-09-23T00:00:00"/>
    <x v="0"/>
    <x v="7"/>
    <x v="10"/>
    <s v="[Brisaguas - La Cruz] Pozo 7"/>
    <s v="ST"/>
    <x v="0"/>
    <s v="Revisión de conexión pozo 7 "/>
  </r>
  <r>
    <n v="148"/>
    <d v="2025-09-24T00:00:00"/>
    <x v="5"/>
    <x v="1"/>
    <x v="1"/>
    <s v="[Gestión Hídrica El Soldado] Sector -300 Gateway"/>
    <s v="ST"/>
    <x v="5"/>
    <m/>
  </r>
  <r>
    <n v="148"/>
    <d v="2025-09-24T00:00:00"/>
    <x v="5"/>
    <x v="1"/>
    <x v="1"/>
    <s v="[Gestión Hídrica El Soldado] Piscina 3800 desde V.B"/>
    <s v="ST"/>
    <x v="6"/>
    <m/>
  </r>
  <r>
    <n v="148"/>
    <d v="2025-09-24T00:00:00"/>
    <x v="5"/>
    <x v="1"/>
    <x v="11"/>
    <s v="Reforestacion"/>
    <s v="ST"/>
    <x v="6"/>
    <m/>
  </r>
  <r>
    <n v="148"/>
    <d v="2025-09-24T00:00:00"/>
    <x v="5"/>
    <x v="1"/>
    <x v="1"/>
    <s v="[Gestión Hídrica El Soldado] Estero El Cobre (ET-0F) Nodo B"/>
    <s v="ST"/>
    <x v="3"/>
    <m/>
  </r>
  <r>
    <n v="148"/>
    <d v="2025-09-24T00:00:00"/>
    <x v="5"/>
    <x v="1"/>
    <x v="1"/>
    <s v="[Gestión Hídrica El Soldado] PM-2 Nodo B18"/>
    <s v="ST"/>
    <x v="3"/>
    <m/>
  </r>
  <r>
    <n v="148"/>
    <d v="2025-09-24T00:00:00"/>
    <x v="5"/>
    <x v="1"/>
    <x v="1"/>
    <s v="[Gestión Hídrica El Soldado] Pozo N° 3A (P3A) Nodo B1"/>
    <s v="ST"/>
    <x v="3"/>
    <m/>
  </r>
  <r>
    <n v="153"/>
    <d v="2025-09-25T00:00:00"/>
    <x v="5"/>
    <x v="1"/>
    <x v="1"/>
    <s v="[Gestión Hídrica El Soldado] Pozo N° 3A (P3A) Nodo B1"/>
    <s v="ST"/>
    <x v="1"/>
    <s v="Mantenimiento preventivo "/>
  </r>
  <r>
    <n v="153"/>
    <d v="2025-09-25T00:00:00"/>
    <x v="5"/>
    <x v="1"/>
    <x v="1"/>
    <s v="[Gestión Hídrica El Soldado] Pozo Los Litres N° 01 (PLL-01) Nodo A12"/>
    <s v="ST"/>
    <x v="1"/>
    <s v="Mantenimiento preventivo "/>
  </r>
  <r>
    <n v="153"/>
    <d v="2025-09-25T00:00:00"/>
    <x v="5"/>
    <x v="1"/>
    <x v="1"/>
    <s v="[Gestión Hídrica El Soldado] Pozo Los Litres N° 02 (PLL-02) Nodo A13"/>
    <s v="ST"/>
    <x v="1"/>
    <s v="Mantenimiento preventivo "/>
  </r>
  <r>
    <n v="155"/>
    <d v="2025-09-27T00:00:00"/>
    <x v="5"/>
    <x v="1"/>
    <x v="1"/>
    <s v="Estanque caseta el melon "/>
    <s v="ST"/>
    <x v="1"/>
    <s v="Mantenimiento preventivo "/>
  </r>
  <r>
    <n v="155"/>
    <d v="2025-09-27T00:00:00"/>
    <x v="5"/>
    <x v="1"/>
    <x v="1"/>
    <s v="[Gestión Hídrica El Soldado] Dren de Cap de Inflil (AO-1) Gateway B"/>
    <s v="ST"/>
    <x v="1"/>
    <s v="Mantenimiento preventivo "/>
  </r>
  <r>
    <n v="163"/>
    <d v="2025-09-30T00:00:00"/>
    <x v="5"/>
    <x v="1"/>
    <x v="1"/>
    <s v="[Gestión Hídrica El Soldado] Sector -300 Gateway"/>
    <s v="ST"/>
    <x v="1"/>
    <s v="Mantenimiento preventivo "/>
  </r>
  <r>
    <n v="163"/>
    <d v="2025-09-30T00:00:00"/>
    <x v="5"/>
    <x v="1"/>
    <x v="1"/>
    <s v="[Gestión Hídrica El Soldado] Dren de Cap de Inflil (AO-1) Gateway B"/>
    <s v="ST"/>
    <x v="1"/>
    <s v="Mantenimiento preventivo "/>
  </r>
  <r>
    <n v="163"/>
    <d v="2025-09-30T00:00:00"/>
    <x v="5"/>
    <x v="1"/>
    <x v="1"/>
    <s v="[Gestión Hídrica El Soldado] Pozo N° 3A (P3A) Nodo B1"/>
    <s v="ST"/>
    <x v="1"/>
    <s v="Mantenimiento preventivo "/>
  </r>
  <r>
    <n v="164"/>
    <d v="2025-09-30T00:00:00"/>
    <x v="1"/>
    <x v="2"/>
    <x v="2"/>
    <s v="[Los Bronces - Riecillos] R3050 Caudalimetro E"/>
    <s v="ST"/>
    <x v="1"/>
    <s v="Mantención correctiva - Contrastación de valores "/>
  </r>
  <r>
    <n v="166"/>
    <d v="2025-10-02T00:00:00"/>
    <x v="3"/>
    <x v="3"/>
    <x v="3"/>
    <s v="[Global Tórtolas] Pozo P3GB"/>
    <s v="ST"/>
    <x v="4"/>
    <s v="Configuración telemetria y levantamiento"/>
  </r>
  <r>
    <n v="168"/>
    <d v="2025-10-02T00:00:00"/>
    <x v="2"/>
    <x v="1"/>
    <x v="1"/>
    <s v="Cachimba Veta Blanca"/>
    <s v="ST"/>
    <x v="5"/>
    <m/>
  </r>
  <r>
    <n v="172"/>
    <d v="2025-10-02T00:00:00"/>
    <x v="2"/>
    <x v="1"/>
    <x v="1"/>
    <s v="[Gestión Hídrica El Soldado] Monitoreo Canaletas UG"/>
    <s v="ST"/>
    <x v="5"/>
    <m/>
  </r>
  <r>
    <n v="172"/>
    <d v="2025-10-02T00:00:00"/>
    <x v="2"/>
    <x v="1"/>
    <x v="1"/>
    <s v="Arranque Barrera Hidráulica TRET/Estación Reelevadora. "/>
    <s v="ST"/>
    <x v="0"/>
    <m/>
  </r>
  <r>
    <n v="172"/>
    <d v="2025-10-02T00:00:00"/>
    <x v="2"/>
    <x v="1"/>
    <x v="1"/>
    <s v="[Gestión Hídrica El Soldado] Sector -300 Gateway"/>
    <s v="ST"/>
    <x v="5"/>
    <m/>
  </r>
  <r>
    <n v="175"/>
    <d v="2025-10-03T00:00:00"/>
    <x v="5"/>
    <x v="1"/>
    <x v="1"/>
    <s v="Barrera T4"/>
    <s v="ST"/>
    <x v="1"/>
    <s v="Mantenimiento preventivo "/>
  </r>
  <r>
    <n v="175"/>
    <d v="2025-10-03T00:00:00"/>
    <x v="5"/>
    <x v="1"/>
    <x v="1"/>
    <s v="[Gestión Hídrica El Soldado] Pozo Inyección Barrera Hidráulica PI20"/>
    <s v="ST"/>
    <x v="1"/>
    <s v="Mantenimiento preventivo "/>
  </r>
  <r>
    <n v="175"/>
    <d v="2025-10-03T00:00:00"/>
    <x v="5"/>
    <x v="1"/>
    <x v="1"/>
    <s v="[Gestión Hídrica El Soldado] Pozo El Melón N° 06 (PEM-06) Nodo"/>
    <s v="ST"/>
    <x v="1"/>
    <s v="Mantenimiento preventivo "/>
  </r>
  <r>
    <n v="175"/>
    <d v="2025-10-03T00:00:00"/>
    <x v="5"/>
    <x v="1"/>
    <x v="1"/>
    <s v="[Gestión Hídrica El Soldado] Pozo El Melón N° 10 (PEM-10) Nodo A16"/>
    <s v="ST"/>
    <x v="1"/>
    <s v="Mantenimiento preventivo "/>
  </r>
  <r>
    <n v="176"/>
    <d v="2025-10-07T00:00:00"/>
    <x v="1"/>
    <x v="1"/>
    <x v="1"/>
    <s v="[Gestión Hídrica El Soldado] Pozo El Melón N° 06 (PEM-06) Nodo"/>
    <s v="ST"/>
    <x v="6"/>
    <s v="Gestión hídrica el soldado"/>
  </r>
  <r>
    <n v="176"/>
    <d v="2025-10-07T00:00:00"/>
    <x v="1"/>
    <x v="1"/>
    <x v="1"/>
    <s v="[Gestión Hídrica El Soldado] Pozo El Melón N° 10 (PEM-10) Nodo A16"/>
    <s v="ST"/>
    <x v="0"/>
    <s v="Gestión hídrica el soldado"/>
  </r>
  <r>
    <n v="176"/>
    <d v="2025-10-07T00:00:00"/>
    <x v="1"/>
    <x v="1"/>
    <x v="1"/>
    <s v="[Gestión Hídrica El Soldado] Sector -300 Gateway"/>
    <s v="ST"/>
    <x v="6"/>
    <s v="Gestión hídrica el soldado"/>
  </r>
  <r>
    <n v="179"/>
    <d v="2025-10-07T00:00:00"/>
    <x v="0"/>
    <x v="8"/>
    <x v="12"/>
    <s v="[SSR Comité Manzanar] Lora Estanque Manzanar"/>
    <s v="ST"/>
    <x v="0"/>
    <s v="Revisión comunicacion local Lora pozo-estanque "/>
  </r>
  <r>
    <n v="180"/>
    <d v="2025-10-07T00:00:00"/>
    <x v="0"/>
    <x v="9"/>
    <x v="13"/>
    <s v="[APR Parcelación El Melón RP1] Pozo 1 y 2 y Estanques Azul y Acumulación"/>
    <s v="ST"/>
    <x v="5"/>
    <s v="Apoyo conexion contactor pozo 2 en falla "/>
  </r>
  <r>
    <n v="182"/>
    <d v="2025-10-07T00:00:00"/>
    <x v="4"/>
    <x v="3"/>
    <x v="3"/>
    <s v="[Global Tórtolas] Pozo PBM4"/>
    <s v="ST"/>
    <x v="3"/>
    <s v="Instalación flowcell y modificación de estructura"/>
  </r>
  <r>
    <n v="183"/>
    <d v="2025-10-08T00:00:00"/>
    <x v="0"/>
    <x v="10"/>
    <x v="14"/>
    <s v="[Lipigas PSR Quillayes] PSR Quillayes"/>
    <s v="ST"/>
    <x v="0"/>
    <s v="Revisión operacion plants y equipos de comunicación. Feedback cruzado."/>
  </r>
  <r>
    <n v="187"/>
    <d v="2025-10-09T00:00:00"/>
    <x v="2"/>
    <x v="1"/>
    <x v="1"/>
    <s v="[Gestión Hídrica El Soldado] Pozo Inyección Barrera Hidráulica T4"/>
    <s v="ST"/>
    <x v="5"/>
    <s v="Solicitudes cliente, ajuste y revision de recintos"/>
  </r>
  <r>
    <n v="187"/>
    <d v="2025-10-09T00:00:00"/>
    <x v="2"/>
    <x v="1"/>
    <x v="1"/>
    <s v="[Gestión Hídrica El Soldado] Sector -300 Gateway"/>
    <s v="ST"/>
    <x v="4"/>
    <s v="Solicitudes cliente, ajuste y revision de recintos"/>
  </r>
  <r>
    <n v="187"/>
    <d v="2025-10-09T00:00:00"/>
    <x v="2"/>
    <x v="1"/>
    <x v="1"/>
    <s v="[Gestión Hídrica El Soldado] PM-28C Nodo"/>
    <s v="ST"/>
    <x v="5"/>
    <s v="Solicitudes cliente, ajuste y revision de recintos"/>
  </r>
  <r>
    <n v="187"/>
    <d v="2025-10-09T00:00:00"/>
    <x v="2"/>
    <x v="1"/>
    <x v="1"/>
    <s v="[Gestión Hídrica El Soldado] PM-30 Nodo"/>
    <s v="ST"/>
    <x v="5"/>
    <s v="Solicitudes cliente, ajuste y revision de recintos"/>
  </r>
  <r>
    <n v="190"/>
    <d v="2025-10-09T00:00:00"/>
    <x v="1"/>
    <x v="1"/>
    <x v="1"/>
    <s v="[Gestión Hídrica El Soldado] PM-6 Nodo 158"/>
    <s v="ST"/>
    <x v="6"/>
    <s v="Manutención preventiva - Levantamiento técnico "/>
  </r>
  <r>
    <n v="191"/>
    <d v="2025-10-10T00:00:00"/>
    <x v="4"/>
    <x v="3"/>
    <x v="3"/>
    <s v="[Global Tórtolas] Pozo PBM4"/>
    <s v="ST"/>
    <x v="0"/>
    <s v="Revisión de lectura del instrumento sonda multiparametrica"/>
  </r>
  <r>
    <n v="191"/>
    <d v="2025-10-10T00:00:00"/>
    <x v="4"/>
    <x v="3"/>
    <x v="3"/>
    <s v="[Global Tórtolas] Pozo P2G"/>
    <s v="ST"/>
    <x v="0"/>
    <s v="Revisión de lectura del instrumento sonda multiparametrica"/>
  </r>
  <r>
    <n v="191"/>
    <d v="2025-10-10T00:00:00"/>
    <x v="4"/>
    <x v="3"/>
    <x v="3"/>
    <s v="[Global Tórtolas] Pozo P3G"/>
    <s v="ST"/>
    <x v="0"/>
    <s v="Revisión de lectura del instrumento sonda multiparametrica"/>
  </r>
  <r>
    <n v="191"/>
    <d v="2025-10-10T00:00:00"/>
    <x v="4"/>
    <x v="3"/>
    <x v="3"/>
    <s v="[Global Tórtolas] Pozo PBM1"/>
    <s v="ST"/>
    <x v="0"/>
    <s v="Revisión de lectura del instrumento sonda multiparametrica"/>
  </r>
  <r>
    <n v="192"/>
    <d v="2025-10-11T00:00:00"/>
    <x v="2"/>
    <x v="1"/>
    <x v="1"/>
    <s v="[Gestión Hídrica El Soldado] Pozo Los Litres N° 01 (PLL-01) Nodo A12"/>
    <s v="ST"/>
    <x v="5"/>
    <s v="Trabajo administrativo "/>
  </r>
  <r>
    <n v="194"/>
    <d v="2025-10-13T00:00:00"/>
    <x v="7"/>
    <x v="3"/>
    <x v="3"/>
    <s v="[Global Tórtolas] Pozo PBM4"/>
    <s v="ST"/>
    <x v="5"/>
    <s v="Desconexión, conexión y configuración "/>
  </r>
  <r>
    <n v="196"/>
    <d v="2025-10-14T00:00:00"/>
    <x v="7"/>
    <x v="3"/>
    <x v="3"/>
    <s v="[Global Tórtolas] Pozo PMO 05"/>
    <s v="ST"/>
    <x v="3"/>
    <s v="Desconexión, instalación y configuración "/>
  </r>
  <r>
    <n v="196"/>
    <d v="2025-10-14T00:00:00"/>
    <x v="7"/>
    <x v="3"/>
    <x v="15"/>
    <s v="PMO-15c"/>
    <s v="ST"/>
    <x v="3"/>
    <s v="Desconexión, instalación y configuración "/>
  </r>
  <r>
    <n v="196"/>
    <d v="2025-10-14T00:00:00"/>
    <x v="7"/>
    <x v="3"/>
    <x v="16"/>
    <s v="PME-09"/>
    <s v="ST"/>
    <x v="3"/>
    <s v="Desconexión, instalación y configuración "/>
  </r>
  <r>
    <n v="196"/>
    <d v="2025-10-14T00:00:00"/>
    <x v="7"/>
    <x v="3"/>
    <x v="17"/>
    <s v="PME-08"/>
    <s v="ST"/>
    <x v="3"/>
    <s v="Desconexión, instalación y configuración "/>
  </r>
  <r>
    <n v="199"/>
    <d v="2025-10-15T00:00:00"/>
    <x v="2"/>
    <x v="1"/>
    <x v="1"/>
    <s v="[Gestión Hídrica El Soldado] Pozo El Melón N° 10 (PEM-10) Nodo A16"/>
    <s v="ST"/>
    <x v="4"/>
    <s v="Cambio de sondas multiparametricas y revisión de programa PLC."/>
  </r>
  <r>
    <n v="202"/>
    <d v="2025-10-15T00:00:00"/>
    <x v="7"/>
    <x v="3"/>
    <x v="17"/>
    <s v="Bodega ASAP"/>
    <s v="ST"/>
    <x v="5"/>
    <s v="Entrega de materiales _x000a_Conexión de los puntos trasladados _x000a_"/>
  </r>
  <r>
    <n v="205"/>
    <d v="2025-10-16T00:00:00"/>
    <x v="2"/>
    <x v="1"/>
    <x v="4"/>
    <s v="[El Soldado Cachimba Relevadoras] Cachimba Relevadoras"/>
    <s v="ST"/>
    <x v="5"/>
    <s v="Soporte terreno y cambio de sondas "/>
  </r>
  <r>
    <n v="206"/>
    <d v="2025-10-16T00:00:00"/>
    <x v="0"/>
    <x v="10"/>
    <x v="18"/>
    <s v="Sala de control GNL"/>
    <s v="ST"/>
    <x v="0"/>
    <s v="Retiro de pantalla de sala de control producto de falla "/>
  </r>
  <r>
    <n v="213"/>
    <d v="2025-10-17T00:00:00"/>
    <x v="2"/>
    <x v="1"/>
    <x v="1"/>
    <s v="x"/>
    <s v="ST"/>
    <x v="2"/>
    <s v="Trabajo administrativo "/>
  </r>
  <r>
    <n v="214"/>
    <d v="2025-10-17T00:00:00"/>
    <x v="0"/>
    <x v="10"/>
    <x v="19"/>
    <s v="[Lipigas PSR Danone (Chillán)] PSR Danone (Chillán)"/>
    <s v="ST"/>
    <x v="4"/>
    <s v="Revisión de comunicación MODBuS RTU  planta PSR Danone entre correcto de flujos y sistema de monitoreo o PLC de planta "/>
  </r>
  <r>
    <n v="217"/>
    <d v="2025-10-21T00:00:00"/>
    <x v="5"/>
    <x v="1"/>
    <x v="1"/>
    <s v="[Gestión Hídrica El Soldado] Pozo Inyección Barrera Hidráulica PI20"/>
    <s v="ST"/>
    <x v="1"/>
    <s v="Mantenimiento preventivo "/>
  </r>
  <r>
    <n v="217"/>
    <d v="2025-10-21T00:00:00"/>
    <x v="5"/>
    <x v="1"/>
    <x v="1"/>
    <s v="[Gestión Hídrica El Soldado] Pozo Inyección Barrera Hidráulica PI19"/>
    <s v="ST"/>
    <x v="1"/>
    <s v="Mantenimiento preventivo "/>
  </r>
  <r>
    <n v="217"/>
    <d v="2025-10-21T00:00:00"/>
    <x v="5"/>
    <x v="1"/>
    <x v="1"/>
    <s v="[Gestión Hídrica El Soldado] Pozo Inyección Barrera Hidráulica PI18"/>
    <s v="ST"/>
    <x v="1"/>
    <s v="Mantenimiento preventivo "/>
  </r>
  <r>
    <n v="217"/>
    <d v="2025-10-21T00:00:00"/>
    <x v="5"/>
    <x v="1"/>
    <x v="1"/>
    <s v="[Gestión Hídrica El Soldado] Pozo Inyección Barrera Hidráulica PI17"/>
    <s v="ST"/>
    <x v="1"/>
    <s v="Mantenimiento preventivo "/>
  </r>
  <r>
    <n v="217"/>
    <d v="2025-10-21T00:00:00"/>
    <x v="5"/>
    <x v="1"/>
    <x v="1"/>
    <s v="[Gestión Hídrica El Soldado] PM-3 Nodo B19"/>
    <s v="ST"/>
    <x v="1"/>
    <s v="Mantenimiento preventivo "/>
  </r>
  <r>
    <n v="217"/>
    <d v="2025-10-21T00:00:00"/>
    <x v="5"/>
    <x v="1"/>
    <x v="1"/>
    <s v="[Gestión Hídrica El Soldado] Pozo El Melón N° 10 (PEM-10) Nodo A16"/>
    <s v="ST"/>
    <x v="1"/>
    <s v="Mantenimiento preventivo "/>
  </r>
  <r>
    <n v="219"/>
    <d v="2025-10-22T00:00:00"/>
    <x v="5"/>
    <x v="1"/>
    <x v="1"/>
    <s v="[Gestión Hídrica El Soldado] Tranque 4"/>
    <s v="ST"/>
    <x v="1"/>
    <s v="Mantenimiento preventivo "/>
  </r>
  <r>
    <n v="219"/>
    <d v="2025-10-22T00:00:00"/>
    <x v="5"/>
    <x v="1"/>
    <x v="1"/>
    <s v="Bodega de recursos hidricos "/>
    <s v="ST"/>
    <x v="1"/>
    <s v="Mantenimiento preventivo "/>
  </r>
  <r>
    <n v="219"/>
    <d v="2025-10-22T00:00:00"/>
    <x v="5"/>
    <x v="1"/>
    <x v="1"/>
    <s v="[Gestión Hídrica El Soldado] PM-07 Gateway"/>
    <s v="ST"/>
    <x v="1"/>
    <s v="Mantenimiento preventivo "/>
  </r>
  <r>
    <n v="219"/>
    <d v="2025-10-22T00:00:00"/>
    <x v="5"/>
    <x v="1"/>
    <x v="1"/>
    <s v="[Gestión Hídrica El Soldado] Pozo El Melón N° 10 (PEM-10) Nodo A16"/>
    <s v="ST"/>
    <x v="1"/>
    <s v="Mantenimiento preventivo "/>
  </r>
  <r>
    <n v="223"/>
    <d v="2025-10-23T00:00:00"/>
    <x v="5"/>
    <x v="1"/>
    <x v="1"/>
    <s v="Piscina 4000"/>
    <s v="ST"/>
    <x v="1"/>
    <s v="Mantenimiento preventivo "/>
  </r>
  <r>
    <n v="223"/>
    <d v="2025-10-23T00:00:00"/>
    <x v="5"/>
    <x v="1"/>
    <x v="1"/>
    <s v="Válvulas túnel UG"/>
    <s v="ST"/>
    <x v="1"/>
    <s v="Mantenimiento preventivo "/>
  </r>
  <r>
    <n v="223"/>
    <d v="2025-10-23T00:00:00"/>
    <x v="5"/>
    <x v="1"/>
    <x v="1"/>
    <s v="[Gestión Hídrica El Soldado] Caudalimetro Portal de Arenas"/>
    <s v="ST"/>
    <x v="1"/>
    <s v="Mantenimiento preventivo "/>
  </r>
  <r>
    <n v="223"/>
    <d v="2025-10-23T00:00:00"/>
    <x v="5"/>
    <x v="1"/>
    <x v="1"/>
    <s v="Pozos PM exterior "/>
    <s v="ST"/>
    <x v="1"/>
    <s v="Mantenimiento preventivo "/>
  </r>
  <r>
    <n v="231"/>
    <d v="2025-10-27T00:00:00"/>
    <x v="3"/>
    <x v="2"/>
    <x v="2"/>
    <s v="[Los Bronces - Riecillos] R2700 Gateway"/>
    <s v="ST"/>
    <x v="0"/>
    <s v="Revisión previa trabajos R3050 y 2700"/>
  </r>
  <r>
    <n v="233"/>
    <d v="2025-10-27T00:00:00"/>
    <x v="5"/>
    <x v="1"/>
    <x v="1"/>
    <s v="[Gestión Hídrica El Soldado] Lora Piscina 3800"/>
    <s v="ST"/>
    <x v="1"/>
    <s v="Mantenimiento preventivo "/>
  </r>
  <r>
    <n v="233"/>
    <d v="2025-10-27T00:00:00"/>
    <x v="5"/>
    <x v="1"/>
    <x v="1"/>
    <s v="Caudalimetro no invasivo entrada 3800"/>
    <s v="ST"/>
    <x v="1"/>
    <s v="Mantenimiento preventivo "/>
  </r>
  <r>
    <n v="233"/>
    <d v="2025-10-27T00:00:00"/>
    <x v="5"/>
    <x v="1"/>
    <x v="1"/>
    <s v="Piscina 3800 a TK convencional "/>
    <s v="ST"/>
    <x v="1"/>
    <s v="Mantenimiento preventivo "/>
  </r>
  <r>
    <n v="233"/>
    <d v="2025-10-27T00:00:00"/>
    <x v="5"/>
    <x v="1"/>
    <x v="1"/>
    <s v="Piscina 3800 a RELE"/>
    <s v="ST"/>
    <x v="1"/>
    <s v="Mantenimiento preventivo "/>
  </r>
  <r>
    <n v="234"/>
    <d v="2025-10-28T00:00:00"/>
    <x v="5"/>
    <x v="1"/>
    <x v="1"/>
    <s v="[Gestión Hídrica El Soldado] Pozo Los Litres N° 05 (PLL-05)"/>
    <s v="ST"/>
    <x v="0"/>
    <s v="Levantamiento "/>
  </r>
  <r>
    <n v="236"/>
    <d v="2025-10-28T00:00:00"/>
    <x v="3"/>
    <x v="2"/>
    <x v="2"/>
    <s v="[Los Bronces - Riecillos] R2700 Gateway"/>
    <s v="ST"/>
    <x v="5"/>
    <s v="Mantenimiento correctivo R3050 y 2700"/>
  </r>
  <r>
    <n v="236"/>
    <d v="2025-10-28T00:00:00"/>
    <x v="3"/>
    <x v="2"/>
    <x v="2"/>
    <s v="[Los Bronces - Riecillos] R3050 Gateway"/>
    <s v="ST"/>
    <x v="5"/>
    <s v="Mantenimiento correctivo R3050 y 2700"/>
  </r>
  <r>
    <n v="240"/>
    <d v="2025-10-30T00:00:00"/>
    <x v="2"/>
    <x v="1"/>
    <x v="1"/>
    <s v="[Gestión Hídrica El Soldado] Pozo Inyección Barrera Hidráulica T4"/>
    <s v="ST"/>
    <x v="1"/>
    <s v="Contrastación de cuadal"/>
  </r>
  <r>
    <n v="240"/>
    <d v="2025-10-30T00:00:00"/>
    <x v="2"/>
    <x v="1"/>
    <x v="1"/>
    <s v="[Gestión Hídrica El Soldado] Pozo El Melón N° 09 (PEM-09)"/>
    <s v="ST"/>
    <x v="1"/>
    <s v="Contrastación de cuadal"/>
  </r>
  <r>
    <n v="242"/>
    <d v="2025-10-30T00:00:00"/>
    <x v="5"/>
    <x v="1"/>
    <x v="1"/>
    <s v="BH TRET "/>
    <s v="ST"/>
    <x v="1"/>
    <s v="Mantenimiento preventivo y contrastacion "/>
  </r>
  <r>
    <n v="242"/>
    <d v="2025-10-30T00:00:00"/>
    <x v="5"/>
    <x v="1"/>
    <x v="1"/>
    <s v="[Gestión Hídrica El Soldado] Pozo El Melón N° 09 (PEM-09)"/>
    <s v="ST"/>
    <x v="1"/>
    <s v="Mantenimiento preventivo y contrastacion "/>
  </r>
  <r>
    <n v="242"/>
    <d v="2025-10-30T00:00:00"/>
    <x v="5"/>
    <x v="1"/>
    <x v="1"/>
    <s v="[Gestión Hídrica El Soldado] Pozo Los Litres N° 05 (PLL-05)"/>
    <s v="ST"/>
    <x v="1"/>
    <s v="Mantenimiento preventivo y contrastacion "/>
  </r>
  <r>
    <n v="242"/>
    <d v="2025-10-30T00:00:00"/>
    <x v="5"/>
    <x v="1"/>
    <x v="1"/>
    <s v="[Gestión Hídrica El Soldado] Pozo Los Litres N° 01 (PLL-01) Nodo A12"/>
    <s v="ST"/>
    <x v="1"/>
    <s v="Mantenimiento preventivo y contrastacion "/>
  </r>
  <r>
    <n v="242"/>
    <d v="2025-10-30T00:00:00"/>
    <x v="5"/>
    <x v="1"/>
    <x v="1"/>
    <s v="[Gestión Hídrica El Soldado] Pozo Los Litres N° 02 (PLL-02) Nodo A13"/>
    <s v="ST"/>
    <x v="1"/>
    <s v="Mantenimiento preventivo y contrastacion "/>
  </r>
  <r>
    <n v="244"/>
    <d v="2025-11-04T00:00:00"/>
    <x v="5"/>
    <x v="1"/>
    <x v="20"/>
    <s v="Bodega de recursos hidricos "/>
    <s v="ST"/>
    <x v="1"/>
    <s v="Mantenimiento preventivo e instalación "/>
  </r>
  <r>
    <n v="244"/>
    <d v="2025-11-04T00:00:00"/>
    <x v="5"/>
    <x v="1"/>
    <x v="1"/>
    <s v="[Gestión Hídrica El Soldado] Sector -300 Gateway"/>
    <s v="ST"/>
    <x v="1"/>
    <s v="Mantenimiento preventivo e instalación "/>
  </r>
  <r>
    <n v="246"/>
    <d v="2025-11-05T00:00:00"/>
    <x v="5"/>
    <x v="1"/>
    <x v="20"/>
    <s v="Túnel norte "/>
    <s v="ST"/>
    <x v="1"/>
    <s v="Mantenimiento preventivo e instalación "/>
  </r>
  <r>
    <n v="246"/>
    <d v="2025-11-05T00:00:00"/>
    <x v="5"/>
    <x v="1"/>
    <x v="1"/>
    <s v="Rebalse piscina UG a estero el gallo"/>
    <s v="ST"/>
    <x v="1"/>
    <s v="Mantenimiento preventivo e instalación "/>
  </r>
  <r>
    <n v="249"/>
    <d v="2025-11-06T00:00:00"/>
    <x v="5"/>
    <x v="1"/>
    <x v="20"/>
    <s v="Rebalse piscina UG-300 hacia estero el gallo "/>
    <s v="ST"/>
    <x v="1"/>
    <s v="Mantenimiento e instalación "/>
  </r>
  <r>
    <n v="253"/>
    <d v="2025-11-06T00:00:00"/>
    <x v="5"/>
    <x v="1"/>
    <x v="21"/>
    <s v="Mina UG estero el gallo"/>
    <s v="ST"/>
    <x v="3"/>
    <s v="Instalación y configuración "/>
  </r>
  <r>
    <n v="253"/>
    <d v="2025-11-06T00:00:00"/>
    <x v="5"/>
    <x v="1"/>
    <x v="1"/>
    <s v="[Gestión Hídrica El Soldado] Estero El Gallo"/>
    <s v="ST"/>
    <x v="3"/>
    <s v="Instalación y configuración "/>
  </r>
  <r>
    <n v="254"/>
    <d v="2025-11-07T00:00:00"/>
    <x v="5"/>
    <x v="1"/>
    <x v="1"/>
    <s v="[Gestión Hídrica El Soldado] Estero El Gallo"/>
    <s v="ST"/>
    <x v="3"/>
    <s v="Instalación RQ30 estero el gallo"/>
  </r>
  <r>
    <n v="255"/>
    <d v="2025-11-07T00:00:00"/>
    <x v="3"/>
    <x v="2"/>
    <x v="2"/>
    <s v="[Los Bronces - Riecillos] R3050 Caudalimetro E"/>
    <s v="ST"/>
    <x v="0"/>
    <s v="Mantnimiento correctivo R3050 y 2700"/>
  </r>
  <r>
    <n v="255"/>
    <d v="2025-11-07T00:00:00"/>
    <x v="3"/>
    <x v="2"/>
    <x v="2"/>
    <s v="[Los Bronces - Riecillos] R2700 Caudalimetro B"/>
    <s v="ST"/>
    <x v="0"/>
    <s v="Mantnimiento correctivo R3050 y 2700"/>
  </r>
  <r>
    <n v="258"/>
    <d v="2025-11-10T00:00:00"/>
    <x v="1"/>
    <x v="1"/>
    <x v="1"/>
    <s v="[Gestión Hídrica El Soldado] Pozo Los Litres N° 01 (PLL-01) Nodo A12"/>
    <s v="ST"/>
    <x v="1"/>
    <s v="Mantenimiento preventivo "/>
  </r>
  <r>
    <n v="258"/>
    <d v="2025-11-10T00:00:00"/>
    <x v="1"/>
    <x v="1"/>
    <x v="1"/>
    <s v="[Gestión Hídrica El Soldado] Sector -300 Gateway"/>
    <s v="ST"/>
    <x v="5"/>
    <s v="Mantenimiento preventivo "/>
  </r>
  <r>
    <n v="260"/>
    <d v="2025-11-11T00:00:00"/>
    <x v="1"/>
    <x v="1"/>
    <x v="1"/>
    <s v="[Gestión Hídrica El Soldado] Pozo Los Litres N° 02 (PLL-02) Nodo A13"/>
    <s v="ST"/>
    <x v="1"/>
    <s v="Mantenimiento preventivo"/>
  </r>
  <r>
    <n v="262"/>
    <d v="2025-11-12T00:00:00"/>
    <x v="1"/>
    <x v="1"/>
    <x v="1"/>
    <s v="[Gestión Hídrica El Soldado] Estero El Gallo"/>
    <s v="ST"/>
    <x v="5"/>
    <s v="Configuraciones "/>
  </r>
  <r>
    <n v="262"/>
    <d v="2025-11-12T00:00:00"/>
    <x v="1"/>
    <x v="1"/>
    <x v="21"/>
    <s v="Casino el cobre"/>
    <s v="ST"/>
    <x v="5"/>
    <s v="Configuraciones "/>
  </r>
  <r>
    <n v="266"/>
    <d v="2025-11-13T00:00:00"/>
    <x v="1"/>
    <x v="1"/>
    <x v="1"/>
    <s v="[Gestión Hídrica El Soldado] Pozo Los Litres N° 01 (PLL-01) Nodo A12"/>
    <s v="ST"/>
    <x v="4"/>
    <s v="Configuraciones "/>
  </r>
  <r>
    <n v="266"/>
    <d v="2025-11-13T00:00:00"/>
    <x v="1"/>
    <x v="1"/>
    <x v="1"/>
    <s v="[Gestión Hídrica El Soldado] Pozo Los Litres N° 02 (PLL-02) Nodo A13"/>
    <s v="ST"/>
    <x v="4"/>
    <s v="Configuraciones "/>
  </r>
  <r>
    <n v="266"/>
    <d v="2025-11-13T00:00:00"/>
    <x v="1"/>
    <x v="1"/>
    <x v="1"/>
    <s v="[Gestión Hídrica El Soldado] PM-2 Nodo B18"/>
    <s v="ST"/>
    <x v="4"/>
    <s v="Configuraciones "/>
  </r>
  <r>
    <n v="266"/>
    <d v="2025-11-13T00:00:00"/>
    <x v="1"/>
    <x v="1"/>
    <x v="1"/>
    <s v="[Gestión Hídrica El Soldado] Estero El Gallo"/>
    <s v="ST"/>
    <x v="4"/>
    <s v="Configuraciones "/>
  </r>
  <r>
    <n v="267"/>
    <d v="2025-11-14T00:00:00"/>
    <x v="3"/>
    <x v="2"/>
    <x v="2"/>
    <s v="[Los Bronces - Riecillos] R2700 Gateway"/>
    <s v="ST"/>
    <x v="0"/>
    <s v="Mantenimiento correctivo telemetria "/>
  </r>
  <r>
    <n v="267"/>
    <d v="2025-11-14T00:00:00"/>
    <x v="3"/>
    <x v="2"/>
    <x v="2"/>
    <s v="[Los Bronces - Riecillos] R3050 Gateway"/>
    <s v="ST"/>
    <x v="4"/>
    <s v="Mantenimiento correctivo telemetria "/>
  </r>
  <r>
    <n v="268"/>
    <d v="2025-11-14T00:00:00"/>
    <x v="3"/>
    <x v="2"/>
    <x v="2"/>
    <s v="[Los Bronces - Riecillos] R3050 Caudalimetro E"/>
    <s v="ST"/>
    <x v="5"/>
    <s v="Contrastación Caudalimetro E"/>
  </r>
  <r>
    <n v="272"/>
    <d v="2025-11-17T00:00:00"/>
    <x v="5"/>
    <x v="1"/>
    <x v="1"/>
    <s v="[Gestión Hídrica El Soldado] Estero El Gallo"/>
    <s v="ST"/>
    <x v="1"/>
    <s v="Mantenimiento preventivo "/>
  </r>
  <r>
    <n v="272"/>
    <d v="2025-11-17T00:00:00"/>
    <x v="5"/>
    <x v="1"/>
    <x v="1"/>
    <s v="[Gestión Hídrica El Soldado] Pozo El Melón N° 10 (PEM-10) Nodo A16"/>
    <s v="ST"/>
    <x v="1"/>
    <s v="Mantenimiento preventivo "/>
  </r>
  <r>
    <n v="272"/>
    <d v="2025-11-17T00:00:00"/>
    <x v="5"/>
    <x v="1"/>
    <x v="1"/>
    <s v="[Gestión Hídrica El Soldado] Pozo El Melón N° 09 (PEM-09)"/>
    <s v="ST"/>
    <x v="1"/>
    <s v="Mantenimiento preventivo "/>
  </r>
  <r>
    <n v="272"/>
    <d v="2025-11-17T00:00:00"/>
    <x v="5"/>
    <x v="1"/>
    <x v="1"/>
    <s v="[Gestión Hídrica El Soldado] Pozo Los Litres N° 01 (PLL-01) Nodo A12"/>
    <s v="ST"/>
    <x v="1"/>
    <s v="Mantenimiento preventivo "/>
  </r>
  <r>
    <n v="272"/>
    <d v="2025-11-17T00:00:00"/>
    <x v="5"/>
    <x v="1"/>
    <x v="1"/>
    <s v="[Gestión Hídrica El Soldado] Pozo Los Litres N° 05 (PLL-05)"/>
    <s v="ST"/>
    <x v="1"/>
    <s v="Mantenimiento preventivo "/>
  </r>
  <r>
    <n v="276"/>
    <d v="2025-11-18T00:00:00"/>
    <x v="5"/>
    <x v="1"/>
    <x v="1"/>
    <s v="[Gestión Hídrica El Soldado] Pozo Inyección Barrera Hidráulica PI20"/>
    <s v="ST"/>
    <x v="1"/>
    <s v="Mantenimiento preventivo "/>
  </r>
  <r>
    <n v="276"/>
    <d v="2025-11-18T00:00:00"/>
    <x v="5"/>
    <x v="1"/>
    <x v="1"/>
    <s v="[Gestión Hídrica El Soldado] Pozo El Melón N° 02 (PEM-02) Gateway A"/>
    <s v="ST"/>
    <x v="1"/>
    <s v="Mantenimiento preventivo "/>
  </r>
  <r>
    <n v="276"/>
    <d v="2025-11-18T00:00:00"/>
    <x v="5"/>
    <x v="1"/>
    <x v="1"/>
    <s v="[Gestión Hídrica El Soldado] Pozo El Melón N° 02 (PEM-02) Gateway A"/>
    <s v="ST"/>
    <x v="1"/>
    <s v="Mantenimiento preventivo "/>
  </r>
  <r>
    <n v="278"/>
    <d v="2025-11-19T00:00:00"/>
    <x v="1"/>
    <x v="1"/>
    <x v="21"/>
    <s v="Descarga el gallo mina UG"/>
    <s v="ST"/>
    <x v="4"/>
    <s v="Configuraciones "/>
  </r>
  <r>
    <n v="278"/>
    <d v="2025-11-19T00:00:00"/>
    <x v="1"/>
    <x v="1"/>
    <x v="1"/>
    <s v="[Gestión Hídrica El Soldado] Pozo Inyección Barrera Hidráulica PI17"/>
    <s v="ST"/>
    <x v="4"/>
    <s v="Configuraciones "/>
  </r>
  <r>
    <n v="278"/>
    <d v="2025-11-19T00:00:00"/>
    <x v="1"/>
    <x v="1"/>
    <x v="1"/>
    <s v="[Gestión Hídrica El Soldado] Pozo Inyección Barrera Hidráulica PI20"/>
    <s v="ST"/>
    <x v="4"/>
    <s v="Configuraciones "/>
  </r>
  <r>
    <n v="283"/>
    <d v="2025-11-21T00:00:00"/>
    <x v="2"/>
    <x v="1"/>
    <x v="1"/>
    <s v="Arranque BH TRET"/>
    <s v="ST"/>
    <x v="6"/>
    <s v="Solicitud cliente"/>
  </r>
  <r>
    <n v="283"/>
    <d v="2025-11-21T00:00:00"/>
    <x v="2"/>
    <x v="1"/>
    <x v="1"/>
    <s v="[Gestión Hídrica El Soldado] PM-3 Nodo B19"/>
    <s v="ST"/>
    <x v="5"/>
    <s v="Solicitud cliente"/>
  </r>
  <r>
    <n v="283"/>
    <d v="2025-11-21T00:00:00"/>
    <x v="2"/>
    <x v="1"/>
    <x v="1"/>
    <s v="[Gestión Hídrica El Soldado] PM-4 Nodo B20"/>
    <s v="ST"/>
    <x v="5"/>
    <s v="Solicitud cliente"/>
  </r>
  <r>
    <n v="287"/>
    <d v="2025-11-24T00:00:00"/>
    <x v="3"/>
    <x v="2"/>
    <x v="2"/>
    <s v="[Los Bronces - Riecillos] R2700 Gateway"/>
    <s v="ST"/>
    <x v="3"/>
    <s v="Trabajos mejoramiento telemetria "/>
  </r>
  <r>
    <n v="288"/>
    <d v="2025-11-25T00:00:00"/>
    <x v="5"/>
    <x v="1"/>
    <x v="1"/>
    <s v="[Gestión Hídrica El Soldado] Pozo Los Litres N° 01 (PLL-01) Nodo A12"/>
    <s v="ST"/>
    <x v="6"/>
    <s v="Revisión sensores de nivel "/>
  </r>
  <r>
    <n v="288"/>
    <d v="2025-11-25T00:00:00"/>
    <x v="5"/>
    <x v="1"/>
    <x v="1"/>
    <s v="[Gestión Hídrica El Soldado] Pozo Los Litres N° 02 (PLL-02) Nodo A13"/>
    <s v="ST"/>
    <x v="6"/>
    <s v="Revisión sensores de nivel "/>
  </r>
  <r>
    <n v="288"/>
    <d v="2025-11-25T00:00:00"/>
    <x v="5"/>
    <x v="1"/>
    <x v="1"/>
    <s v="[Gestión Hídrica El Soldado] Pozo Los Litres N° 03 (PLL-03) Nodo 168"/>
    <s v="ST"/>
    <x v="6"/>
    <s v="Revisión sensores de nivel "/>
  </r>
  <r>
    <n v="288"/>
    <d v="2025-11-25T00:00:00"/>
    <x v="5"/>
    <x v="1"/>
    <x v="1"/>
    <s v="[Gestión Hídrica El Soldado] Pozo Los Litres N° 04 (PLL-04) Nodo 169"/>
    <s v="ST"/>
    <x v="6"/>
    <s v="Revisión sensores de nivel "/>
  </r>
  <r>
    <n v="288"/>
    <d v="2025-11-25T00:00:00"/>
    <x v="5"/>
    <x v="1"/>
    <x v="1"/>
    <s v="[Gestión Hídrica El Soldado] Pozo Los Litres N° 05 (PLL-05)"/>
    <s v="ST"/>
    <x v="6"/>
    <s v="Revisión sensores de nivel "/>
  </r>
  <r>
    <n v="288"/>
    <d v="2025-11-25T00:00:00"/>
    <x v="5"/>
    <x v="1"/>
    <x v="1"/>
    <s v="[Gestión Hídrica El Soldado] Pozo Los Litres N° 06 (PLL-06) Nodo 154"/>
    <s v="ST"/>
    <x v="6"/>
    <s v="Revisión sensores de nivel "/>
  </r>
  <r>
    <n v="289"/>
    <d v="2025-11-24T00:00:00"/>
    <x v="4"/>
    <x v="3"/>
    <x v="3"/>
    <s v="[Global Tórtolas] Pozo BN3"/>
    <s v="ST"/>
    <x v="3"/>
    <s v="Instalacion sonda HL4"/>
  </r>
  <r>
    <n v="290"/>
    <d v="2025-11-25T00:00:00"/>
    <x v="3"/>
    <x v="2"/>
    <x v="2"/>
    <s v="[Los Bronces - Riecillos] R2700 Gateway"/>
    <s v="ST"/>
    <x v="3"/>
    <s v="Trabajos mejoramiento telemetría"/>
  </r>
  <r>
    <n v="290"/>
    <d v="2025-11-25T00:00:00"/>
    <x v="3"/>
    <x v="2"/>
    <x v="2"/>
    <s v="[Los Bronces - Riecillos] R3050 Gateway"/>
    <s v="ST"/>
    <x v="3"/>
    <s v="Trabajos mejoramiento telemetría"/>
  </r>
  <r>
    <n v="292"/>
    <d v="2025-11-25T00:00:00"/>
    <x v="5"/>
    <x v="1"/>
    <x v="1"/>
    <s v="[Gestión Hídrica El Soldado] Sector -300 Gateway"/>
    <s v="ST"/>
    <x v="6"/>
    <s v="Revisión sensores "/>
  </r>
  <r>
    <n v="292"/>
    <d v="2025-11-25T00:00:00"/>
    <x v="5"/>
    <x v="1"/>
    <x v="1"/>
    <s v="[Gestión Hídrica El Soldado] Lora Piscina 3800"/>
    <s v="ST"/>
    <x v="6"/>
    <s v="Revisión sensores "/>
  </r>
  <r>
    <n v="292"/>
    <d v="2025-11-25T00:00:00"/>
    <x v="5"/>
    <x v="1"/>
    <x v="21"/>
    <s v="PEM 4_x000a_PEM 6_x000a_PEM 10_x000a_PEM 9_x000a_PEM 1 _x000a_PEM 2_x000a_PEM 3"/>
    <s v="ST"/>
    <x v="6"/>
    <s v="Revisión sensores "/>
  </r>
  <r>
    <n v="292"/>
    <d v="2025-11-25T00:00:00"/>
    <x v="5"/>
    <x v="1"/>
    <x v="1"/>
    <s v="[Gestión Hídrica El Soldado] Pozo N° 3A (P3A) Nodo B1"/>
    <s v="ST"/>
    <x v="6"/>
    <s v="Revisión sensores "/>
  </r>
  <r>
    <n v="295"/>
    <d v="2025-11-21T00:00:00"/>
    <x v="2"/>
    <x v="1"/>
    <x v="22"/>
    <s v="Piscina UG a descarga Estero El Gallo"/>
    <s v="ST"/>
    <x v="5"/>
    <s v="Configuración de equipos"/>
  </r>
  <r>
    <n v="296"/>
    <d v="2025-11-26T00:00:00"/>
    <x v="5"/>
    <x v="1"/>
    <x v="1"/>
    <s v="[Gestión Hídrica El Soldado] PM-30 Nodo"/>
    <s v="ST"/>
    <x v="1"/>
    <s v="Mantenimiento preventivo "/>
  </r>
  <r>
    <n v="296"/>
    <d v="2025-11-26T00:00:00"/>
    <x v="5"/>
    <x v="1"/>
    <x v="1"/>
    <s v="[Gestión Hídrica El Soldado] PM-28C Nodo"/>
    <s v="ST"/>
    <x v="1"/>
    <s v="Mantenimiento preventivo "/>
  </r>
  <r>
    <n v="296"/>
    <d v="2025-11-26T00:00:00"/>
    <x v="5"/>
    <x v="1"/>
    <x v="1"/>
    <s v="[Gestión Hídrica El Soldado] PM-1 Nodo B17"/>
    <s v="ST"/>
    <x v="1"/>
    <s v="Mantenimiento preventivo "/>
  </r>
  <r>
    <n v="296"/>
    <d v="2025-11-26T00:00:00"/>
    <x v="5"/>
    <x v="1"/>
    <x v="1"/>
    <s v="[Gestión Hídrica El Soldado] PM-07 Gateway"/>
    <s v="ST"/>
    <x v="1"/>
    <s v="Mantenimiento preventivo "/>
  </r>
  <r>
    <n v="296"/>
    <d v="2025-11-26T00:00:00"/>
    <x v="5"/>
    <x v="1"/>
    <x v="21"/>
    <s v="PM 28_x000a_PM 30_x000a_PM 07_x000a_PM 06_x000a_PM 26_x000a_PM 05"/>
    <s v="ST"/>
    <x v="1"/>
    <s v="Mantenimiento preventivo "/>
  </r>
  <r>
    <n v="299"/>
    <d v="2025-11-26T00:00:00"/>
    <x v="1"/>
    <x v="2"/>
    <x v="2"/>
    <s v="[Los Bronces - Riecillos] R2700 Caudalimetro B"/>
    <s v="ST"/>
    <x v="0"/>
    <s v="Revisión de guardado de datos telemetria "/>
  </r>
  <r>
    <n v="299"/>
    <d v="2025-11-26T00:00:00"/>
    <x v="1"/>
    <x v="2"/>
    <x v="2"/>
    <s v="[Los Bronces - Riecillos] R3050 Caudalimetro C"/>
    <s v="ST"/>
    <x v="4"/>
    <s v="Revisión de guardado de datos telemetria "/>
  </r>
  <r>
    <n v="299"/>
    <d v="2025-11-26T00:00:00"/>
    <x v="1"/>
    <x v="2"/>
    <x v="2"/>
    <s v="[Los Bronces - Riecillos] R3050 Gateway"/>
    <s v="ST"/>
    <x v="0"/>
    <s v="Revisión de guardado de datos telemetria "/>
  </r>
  <r>
    <n v="300"/>
    <d v="2025-11-27T00:00:00"/>
    <x v="1"/>
    <x v="2"/>
    <x v="2"/>
    <s v="[Los Bronces - Riecillos] R2700 Caudalimetro B"/>
    <s v="ST"/>
    <x v="4"/>
    <s v="Verificación de lecturas en transmisores de caudalimetros no invasivos. "/>
  </r>
  <r>
    <n v="300"/>
    <d v="2025-11-27T00:00:00"/>
    <x v="1"/>
    <x v="2"/>
    <x v="2"/>
    <s v="[Los Bronces - Riecillos] R3050 Gateway"/>
    <s v="ST"/>
    <x v="4"/>
    <s v="Verificación de lecturas en transmisores de caudalimetros no invasivos. "/>
  </r>
  <r>
    <n v="302"/>
    <d v="2025-11-27T00:00:00"/>
    <x v="5"/>
    <x v="1"/>
    <x v="1"/>
    <s v="[Gestión Hídrica El Soldado] Zona Veta Blanca Nodo Piscina 4000"/>
    <s v="ST"/>
    <x v="5"/>
    <s v="Mantenimiento preventivo "/>
  </r>
  <r>
    <n v="302"/>
    <d v="2025-11-27T00:00:00"/>
    <x v="5"/>
    <x v="1"/>
    <x v="1"/>
    <s v="[Gestión Hídrica El Soldado] Pozo Inyección Barrera Hidráulica PI7 Nodo B7"/>
    <s v="ST"/>
    <x v="5"/>
    <s v="Mantenimiento preventivo "/>
  </r>
  <r>
    <n v="302"/>
    <d v="2025-11-27T00:00:00"/>
    <x v="5"/>
    <x v="1"/>
    <x v="1"/>
    <s v="[Gestión Hídrica El Soldado] PM-26 Nodo"/>
    <s v="ST"/>
    <x v="1"/>
    <s v="Mantenimiento preventivo "/>
  </r>
  <r>
    <n v="302"/>
    <d v="2025-11-27T00:00:00"/>
    <x v="5"/>
    <x v="1"/>
    <x v="1"/>
    <s v="[Gestión Hídrica El Soldado] PM-6 Nodo 158"/>
    <s v="ST"/>
    <x v="1"/>
    <s v="Mantenimiento preventivo "/>
  </r>
  <r>
    <n v="302"/>
    <d v="2025-11-27T00:00:00"/>
    <x v="5"/>
    <x v="1"/>
    <x v="21"/>
    <s v="P3a p3b y gateway ao1"/>
    <s v="ST"/>
    <x v="1"/>
    <s v="Mantenimiento preventivo "/>
  </r>
  <r>
    <n v="305"/>
    <d v="2025-11-28T00:00:00"/>
    <x v="5"/>
    <x v="1"/>
    <x v="21"/>
    <s v="PI 17_x000a_PI 18_x000a_PI 19_x000a_PI 20"/>
    <s v="ST"/>
    <x v="1"/>
    <s v="Mantenimiento preventivo "/>
  </r>
  <r>
    <n v="306"/>
    <d v="2025-12-01T00:00:00"/>
    <x v="1"/>
    <x v="3"/>
    <x v="3"/>
    <s v="[Global Tórtolas] Pozo PP-31C"/>
    <s v="ST"/>
    <x v="4"/>
    <s v="Implementación de telemetria "/>
  </r>
  <r>
    <n v="306"/>
    <d v="2025-12-01T00:00:00"/>
    <x v="1"/>
    <x v="11"/>
    <x v="23"/>
    <s v="Container"/>
    <s v="ST"/>
    <x v="2"/>
    <s v="Implementación de telemetria "/>
  </r>
  <r>
    <n v="308"/>
    <d v="2025-12-02T00:00:00"/>
    <x v="5"/>
    <x v="1"/>
    <x v="1"/>
    <s v="[Gestión Hídrica El Soldado] Pozo El Melón N° 02 (PEM-02) Gateway A"/>
    <s v="ST"/>
    <x v="6"/>
    <s v="Mantenimiento preventivo "/>
  </r>
  <r>
    <n v="309"/>
    <d v="2025-11-27T00:00:00"/>
    <x v="8"/>
    <x v="9"/>
    <x v="13"/>
    <s v="[APR Parcelación El Melón RP1] Pozo 1 y 2 y Estanques Azul y Acumulación"/>
    <s v="ST"/>
    <x v="0"/>
    <s v="Servicio problemas en funcionamiento de bombas"/>
  </r>
  <r>
    <n v="310"/>
    <d v="2025-11-25T00:00:00"/>
    <x v="9"/>
    <x v="8"/>
    <x v="12"/>
    <s v="[SSR Comité Manzanar] Recinto Planta Principal"/>
    <s v="ST"/>
    <x v="3"/>
    <s v="Instalación de Gateway Dragino"/>
  </r>
  <r>
    <n v="310"/>
    <d v="2025-11-25T00:00:00"/>
    <x v="9"/>
    <x v="8"/>
    <x v="12"/>
    <s v="[SSR Comité Manzanar] Lora Estanque Manzanar"/>
    <s v="ST"/>
    <x v="4"/>
    <s v="Instalación de Gateway Dragino"/>
  </r>
  <r>
    <n v="311"/>
    <d v="2025-11-27T00:00:00"/>
    <x v="9"/>
    <x v="9"/>
    <x v="24"/>
    <s v="[APR Carmen San José] Pozo 5 y Estanques"/>
    <s v="ST"/>
    <x v="4"/>
    <s v="Revisión de señal recinto "/>
  </r>
  <r>
    <n v="312"/>
    <d v="2025-12-02T00:00:00"/>
    <x v="3"/>
    <x v="3"/>
    <x v="3"/>
    <s v="[Global Tórtolas] Pozo P2G"/>
    <s v="ST"/>
    <x v="4"/>
    <s v="Mantenimiento correctivo"/>
  </r>
  <r>
    <n v="312"/>
    <d v="2025-12-02T00:00:00"/>
    <x v="3"/>
    <x v="3"/>
    <x v="3"/>
    <s v="[Global Tórtolas] Pozo P7"/>
    <s v="ST"/>
    <x v="0"/>
    <s v="Mantenimiento correctivo"/>
  </r>
  <r>
    <n v="312"/>
    <d v="2025-12-02T00:00:00"/>
    <x v="3"/>
    <x v="3"/>
    <x v="3"/>
    <s v="[Global Tórtolas] Pozo P3GB"/>
    <s v="ST"/>
    <x v="0"/>
    <s v="Mantenimiento correctivo"/>
  </r>
  <r>
    <n v="312"/>
    <d v="2025-12-02T00:00:00"/>
    <x v="3"/>
    <x v="3"/>
    <x v="3"/>
    <s v="[Global Tórtolas] Pozo PBM5"/>
    <s v="ST"/>
    <x v="0"/>
    <s v="Mantenimiento correctivo"/>
  </r>
  <r>
    <n v="313"/>
    <d v="2025-12-03T00:00:00"/>
    <x v="5"/>
    <x v="1"/>
    <x v="21"/>
    <s v="Bodega recursos hidricos "/>
    <s v="ST"/>
    <x v="2"/>
    <s v="Mantenimiento preventivo "/>
  </r>
  <r>
    <n v="313"/>
    <d v="2025-12-03T00:00:00"/>
    <x v="5"/>
    <x v="1"/>
    <x v="1"/>
    <s v="[Gestión Hídrica El Soldado] PM-3 Nodo B19"/>
    <s v="ST"/>
    <x v="1"/>
    <s v="Mantenimiento preventivo "/>
  </r>
  <r>
    <n v="313"/>
    <d v="2025-12-03T00:00:00"/>
    <x v="5"/>
    <x v="1"/>
    <x v="1"/>
    <s v="[Gestión Hídrica El Soldado] PM-4 Nodo B20"/>
    <s v="ST"/>
    <x v="1"/>
    <s v="Mantenimiento preventivo "/>
  </r>
  <r>
    <n v="313"/>
    <d v="2025-12-03T00:00:00"/>
    <x v="5"/>
    <x v="1"/>
    <x v="1"/>
    <s v="[Gestión Hídrica El Soldado] Pozo Inyección Barrera Hidráulica PI1 Nodo B22"/>
    <s v="ST"/>
    <x v="1"/>
    <s v="Mantenimiento preventivo "/>
  </r>
  <r>
    <n v="314"/>
    <d v="2025-12-03T00:00:00"/>
    <x v="1"/>
    <x v="3"/>
    <x v="3"/>
    <s v="[Global Tórtolas] Pozo PP-31C"/>
    <s v="ST"/>
    <x v="6"/>
    <s v="Inspección, validación SMA"/>
  </r>
  <r>
    <n v="315"/>
    <d v="2025-12-04T00:00:00"/>
    <x v="1"/>
    <x v="1"/>
    <x v="1"/>
    <s v="[Gestión Hídrica El Soldado] Caudalimetros HDS Sector Planta"/>
    <s v="ST"/>
    <x v="4"/>
    <s v="Levantamiento - Cambio de tarjeta SIM. "/>
  </r>
  <r>
    <n v="315"/>
    <d v="2025-12-04T00:00:00"/>
    <x v="1"/>
    <x v="1"/>
    <x v="1"/>
    <s v="[Gestión Hídrica El Soldado] Lora Dren los Caleos"/>
    <s v="ST"/>
    <x v="4"/>
    <s v="Levantamiento - Cambio de tarjeta SIM. "/>
  </r>
  <r>
    <n v="318"/>
    <d v="2025-12-05T00:00:00"/>
    <x v="1"/>
    <x v="1"/>
    <x v="1"/>
    <s v="[Gestión Hídrica El Soldado] Pozo El Melón N° 04 (PEM-04) Nodo A11"/>
    <s v="ST"/>
    <x v="1"/>
    <s v="Mantenimiento preventivo "/>
  </r>
  <r>
    <n v="318"/>
    <d v="2025-12-05T00:00:00"/>
    <x v="1"/>
    <x v="1"/>
    <x v="1"/>
    <s v="[Gestión Hídrica El Soldado] Pozo El Melón N° 10 (PEM-10) Nodo A16"/>
    <s v="ST"/>
    <x v="1"/>
    <s v="Mantenimiento preventivo "/>
  </r>
  <r>
    <n v="320"/>
    <d v="2025-12-10T00:00:00"/>
    <x v="1"/>
    <x v="2"/>
    <x v="2"/>
    <s v="Patio de tuberias"/>
    <s v="ST"/>
    <x v="2"/>
    <s v="Transporte de materiales "/>
  </r>
  <r>
    <n v="321"/>
    <d v="2025-12-09T00:00:00"/>
    <x v="2"/>
    <x v="9"/>
    <x v="25"/>
    <s v="[APR Los Caleos] Pozos y Bombas Elevadoras"/>
    <s v="ST"/>
    <x v="5"/>
    <s v="Inspección de contingencias."/>
  </r>
  <r>
    <n v="321"/>
    <d v="2025-12-09T00:00:00"/>
    <x v="2"/>
    <x v="1"/>
    <x v="1"/>
    <s v="[Gestión Hídrica El Soldado] Pozo El Melón N° 02 (PEM-02) Gateway A"/>
    <s v="ST"/>
    <x v="6"/>
    <s v="Inspección de contingencias."/>
  </r>
  <r>
    <n v="325"/>
    <d v="2025-12-11T00:00:00"/>
    <x v="1"/>
    <x v="2"/>
    <x v="2"/>
    <s v="[Los Bronces - Riecillos] R2700 Gateway"/>
    <s v="ST"/>
    <x v="2"/>
    <s v="Traslado de materiales "/>
  </r>
  <r>
    <n v="326"/>
    <d v="2025-12-11T00:00:00"/>
    <x v="2"/>
    <x v="1"/>
    <x v="1"/>
    <s v="[Gestión Hídrica El Soldado] Pozo El Melón N° 02 (PEM-02) Gateway A"/>
    <s v="ST"/>
    <x v="6"/>
    <s v="Evaluación de trabajos y mantenimiento."/>
  </r>
  <r>
    <n v="327"/>
    <d v="2025-12-05T00:00:00"/>
    <x v="1"/>
    <x v="1"/>
    <x v="1"/>
    <s v="[Gestión Hídrica El Soldado] Pozo El Melón N° 06 (PEM-06) Nodo"/>
    <s v="ST"/>
    <x v="4"/>
    <s v="Actualización de datos en softwares"/>
  </r>
  <r>
    <n v="327"/>
    <d v="2025-12-05T00:00:00"/>
    <x v="1"/>
    <x v="1"/>
    <x v="26"/>
    <s v="PI17 AL PI20"/>
    <s v="ST"/>
    <x v="6"/>
    <s v="Actualización de datos en softwares"/>
  </r>
  <r>
    <n v="330"/>
    <d v="2025-12-11T00:00:00"/>
    <x v="3"/>
    <x v="2"/>
    <x v="2"/>
    <s v="[Los Bronces - Riecillos] R2700 Gateway"/>
    <s v="ST"/>
    <x v="2"/>
    <s v="Avanze instalación solar 2700"/>
  </r>
  <r>
    <n v="334"/>
    <d v="2025-12-15T00:00:00"/>
    <x v="1"/>
    <x v="1"/>
    <x v="1"/>
    <s v="[Gestión Hídrica El Soldado] Pozos El Soldado Caseta el Melón"/>
    <s v="ST"/>
    <x v="3"/>
    <s v="Traslado gateway"/>
  </r>
  <r>
    <n v="336"/>
    <d v="2025-12-16T00:00:00"/>
    <x v="3"/>
    <x v="2"/>
    <x v="2"/>
    <s v="[Los Bronces - Riecillos] R2700 Gateway"/>
    <s v="ST"/>
    <x v="3"/>
    <s v="Instalación solucion solar R2700"/>
  </r>
  <r>
    <n v="338"/>
    <d v="2025-12-16T00:00:00"/>
    <x v="1"/>
    <x v="1"/>
    <x v="1"/>
    <s v="[Gestión Hídrica El Soldado] Pozo El Melón N° 09 (PEM-09)"/>
    <s v="ST"/>
    <x v="1"/>
    <s v="Mantenimiento "/>
  </r>
  <r>
    <n v="338"/>
    <d v="2025-12-16T00:00:00"/>
    <x v="1"/>
    <x v="1"/>
    <x v="1"/>
    <s v="[Gestión Hídrica El Soldado] Pozo El Melón N° 09 (PEM-09)"/>
    <s v="ST"/>
    <x v="1"/>
    <s v="Mantenimiento "/>
  </r>
  <r>
    <n v="339"/>
    <d v="2025-12-17T00:00:00"/>
    <x v="1"/>
    <x v="1"/>
    <x v="1"/>
    <s v="[Gestión Hídrica El Soldado] Pozo Los Litres N° 06 (PLL-06) Nodo 154"/>
    <s v="ST"/>
    <x v="1"/>
    <s v="Mantenimiento"/>
  </r>
  <r>
    <n v="339"/>
    <d v="2025-12-17T00:00:00"/>
    <x v="1"/>
    <x v="1"/>
    <x v="1"/>
    <s v="[Gestión Hídrica El Soldado] Aguas de Inyección (AO-2) Nodo A15"/>
    <s v="ST"/>
    <x v="1"/>
    <s v="Mantenimiento"/>
  </r>
  <r>
    <n v="339"/>
    <d v="2025-12-17T00:00:00"/>
    <x v="1"/>
    <x v="1"/>
    <x v="1"/>
    <s v="[Gestión Hídrica El Soldado] Pozo Los Litres N° 06 (PLL-06) Nodo 154"/>
    <s v="ST"/>
    <x v="1"/>
    <s v="Mantenimiento"/>
  </r>
  <r>
    <n v="339"/>
    <d v="2025-12-17T00:00:00"/>
    <x v="1"/>
    <x v="1"/>
    <x v="1"/>
    <s v="[Gestión Hídrica El Soldado] Aguas de Inyección (AO-2) Nodo A15"/>
    <s v="ST"/>
    <x v="1"/>
    <s v="Mantenimiento"/>
  </r>
  <r>
    <n v="340"/>
    <d v="2025-12-17T00:00:00"/>
    <x v="3"/>
    <x v="2"/>
    <x v="2"/>
    <s v="[Los Bronces - Riecillos] R2700 Gateway"/>
    <s v="ST"/>
    <x v="3"/>
    <s v="Instalación solución solar R2700"/>
  </r>
  <r>
    <n v="341"/>
    <d v="2025-12-18T00:00:00"/>
    <x v="3"/>
    <x v="2"/>
    <x v="2"/>
    <s v="[Los Bronces - Riecillos] R2700 Gateway"/>
    <s v="ST"/>
    <x v="3"/>
    <s v="Instalacion solucion solar R2700"/>
  </r>
  <r>
    <n v="342"/>
    <d v="2025-12-19T00:00:00"/>
    <x v="1"/>
    <x v="1"/>
    <x v="1"/>
    <s v="[Gestión Hídrica El Soldado] Pozos El Soldado Caseta el Melón"/>
    <s v="ST"/>
    <x v="1"/>
    <s v="Mantenimiento - soporte"/>
  </r>
  <r>
    <n v="342"/>
    <d v="2025-12-19T00:00:00"/>
    <x v="1"/>
    <x v="1"/>
    <x v="1"/>
    <s v="[Gestión Hídrica El Soldado] Pozo Los Litres N° 04 (PLL-04) Nodo 169"/>
    <s v="ST"/>
    <x v="1"/>
    <s v="Mantenimiento - sopor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C9312A-FABE-794A-BCF0-E56FC165C55A}" name="TablaDinámica3" cacheId="25" applyNumberFormats="0" applyBorderFormats="0" applyFontFormats="0" applyPatternFormats="0" applyAlignmentFormats="0" applyWidthHeightFormats="1" dataCaption="Valores" grandTotalCaption="Total" updatedVersion="8" minRefreshableVersion="3" useAutoFormatting="1" itemPrintTitles="1" createdVersion="8" indent="0" compact="0" compactData="0" multipleFieldFilters="0" chartFormat="1">
  <location ref="F22:N34" firstHeaderRow="1" firstDataRow="2" firstDataCol="1"/>
  <pivotFields count="9">
    <pivotField compact="0" outline="0" showAll="0"/>
    <pivotField compact="0" numFmtId="14" outline="0" showAll="0"/>
    <pivotField axis="axisRow" compact="0" outline="0" showAll="0">
      <items count="11">
        <item x="4"/>
        <item x="3"/>
        <item x="0"/>
        <item x="2"/>
        <item x="1"/>
        <item x="9"/>
        <item x="7"/>
        <item x="5"/>
        <item x="8"/>
        <item x="6"/>
        <item t="default"/>
      </items>
    </pivotField>
    <pivotField compact="0" outline="0" showAll="0">
      <items count="13">
        <item x="1"/>
        <item x="2"/>
        <item x="3"/>
        <item x="4"/>
        <item x="0"/>
        <item x="7"/>
        <item x="6"/>
        <item x="9"/>
        <item x="10"/>
        <item x="8"/>
        <item x="5"/>
        <item x="11"/>
        <item t="default"/>
      </items>
    </pivotField>
    <pivotField compact="0" outline="0" showAll="0" sortType="descending" defaultSubtotal="0">
      <items count="27">
        <item sd="0" x="8"/>
        <item sd="0" x="12"/>
        <item sd="0" x="7"/>
        <item sd="0" x="18"/>
        <item sd="0" x="17"/>
        <item sd="0" x="16"/>
        <item sd="0" x="15"/>
        <item sd="0" x="20"/>
        <item sd="0" x="23"/>
        <item sd="0" x="2"/>
        <item sd="0" x="14"/>
        <item sd="0" x="19"/>
        <item sd="0" x="3"/>
        <item sd="0" x="22"/>
        <item sd="0" x="11"/>
        <item sd="0" x="21"/>
        <item sd="0" x="1"/>
        <item sd="0" x="9"/>
        <item sd="0" x="4"/>
        <item sd="0" x="5"/>
        <item sd="0" x="10"/>
        <item sd="0" x="0"/>
        <item sd="0" x="13"/>
        <item sd="0" x="25"/>
        <item sd="0" x="24"/>
        <item sd="0" x="6"/>
        <item sd="0" x="26"/>
      </items>
    </pivotField>
    <pivotField compact="0" outline="0" showAll="0"/>
    <pivotField dataField="1" compact="0" outline="0" showAll="0"/>
    <pivotField axis="axisCol" compact="0" outline="0" showAll="0">
      <items count="10">
        <item x="2"/>
        <item x="4"/>
        <item x="3"/>
        <item m="1" x="8"/>
        <item x="6"/>
        <item x="0"/>
        <item x="1"/>
        <item m="1" x="7"/>
        <item x="5"/>
        <item t="default"/>
      </items>
    </pivotField>
    <pivotField compact="0" outline="0" showAll="0"/>
  </pivotFields>
  <rowFields count="1">
    <field x="2"/>
  </rowFields>
  <rowItems count="11">
    <i>
      <x/>
    </i>
    <i>
      <x v="1"/>
    </i>
    <i>
      <x v="2"/>
    </i>
    <i>
      <x v="3"/>
    </i>
    <i>
      <x v="4"/>
    </i>
    <i>
      <x v="5"/>
    </i>
    <i>
      <x v="6"/>
    </i>
    <i>
      <x v="7"/>
    </i>
    <i>
      <x v="8"/>
    </i>
    <i>
      <x v="9"/>
    </i>
    <i t="grand">
      <x/>
    </i>
  </rowItems>
  <colFields count="1">
    <field x="7"/>
  </colFields>
  <colItems count="8">
    <i>
      <x/>
    </i>
    <i>
      <x v="1"/>
    </i>
    <i>
      <x v="2"/>
    </i>
    <i>
      <x v="4"/>
    </i>
    <i>
      <x v="5"/>
    </i>
    <i>
      <x v="6"/>
    </i>
    <i>
      <x v="8"/>
    </i>
    <i t="grand">
      <x/>
    </i>
  </colItems>
  <dataFields count="1">
    <dataField name="Cuenta de Tipo de trabajo anterior" fld="6" subtotal="count" baseField="0" baseItem="0"/>
  </dataFields>
  <formats count="16">
    <format dxfId="10">
      <pivotArea type="all" dataOnly="0" outline="0" fieldPosition="0"/>
    </format>
    <format dxfId="11">
      <pivotArea outline="0" collapsedLevelsAreSubtotals="1" fieldPosition="0"/>
    </format>
    <format dxfId="12">
      <pivotArea grandRow="1" outline="0" collapsedLevelsAreSubtotals="1" fieldPosition="0"/>
    </format>
    <format dxfId="13">
      <pivotArea dataOnly="0" labelOnly="1" grandRow="1" outline="0" fieldPosition="0"/>
    </format>
    <format dxfId="14">
      <pivotArea dataOnly="0" grandCol="1" outline="0" fieldPosition="0"/>
    </format>
    <format dxfId="15">
      <pivotArea grandRow="1" outline="0" collapsedLevelsAreSubtotals="1" fieldPosition="0"/>
    </format>
    <format dxfId="16">
      <pivotArea dataOnly="0" labelOnly="1" grandRow="1" outline="0" fieldPosition="0"/>
    </format>
    <format dxfId="17">
      <pivotArea grandCol="1" outline="0" collapsedLevelsAreSubtotals="1" fieldPosition="0"/>
    </format>
    <format dxfId="18">
      <pivotArea field="3" type="button" dataOnly="0" labelOnly="1" outline="0"/>
    </format>
    <format dxfId="9">
      <pivotArea dataOnly="0" labelOnly="1" outline="0" fieldPosition="0">
        <references count="1">
          <reference field="2" count="0"/>
        </references>
      </pivotArea>
    </format>
    <format dxfId="8">
      <pivotArea outline="0" fieldPosition="0">
        <references count="1">
          <reference field="2" count="1" selected="0">
            <x v="7"/>
          </reference>
        </references>
      </pivotArea>
    </format>
    <format dxfId="7">
      <pivotArea dataOnly="0" labelOnly="1" outline="0" fieldPosition="0">
        <references count="1">
          <reference field="2" count="1">
            <x v="7"/>
          </reference>
        </references>
      </pivotArea>
    </format>
    <format dxfId="6">
      <pivotArea outline="0" fieldPosition="0">
        <references count="1">
          <reference field="2" count="1" selected="0">
            <x v="4"/>
          </reference>
        </references>
      </pivotArea>
    </format>
    <format dxfId="5">
      <pivotArea dataOnly="0" labelOnly="1" outline="0" fieldPosition="0">
        <references count="1">
          <reference field="2" count="1">
            <x v="4"/>
          </reference>
        </references>
      </pivotArea>
    </format>
    <format dxfId="4">
      <pivotArea outline="0" fieldPosition="0">
        <references count="1">
          <reference field="2" count="1" selected="0">
            <x v="1"/>
          </reference>
        </references>
      </pivotArea>
    </format>
    <format dxfId="3">
      <pivotArea dataOnly="0" labelOnly="1" outline="0" fieldPosition="0">
        <references count="1">
          <reference field="2" count="1">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D866E1-ECE9-8449-956A-9E87958D96BB}" name="TablaDinámica7" cacheId="25" applyNumberFormats="0" applyBorderFormats="0" applyFontFormats="0" applyPatternFormats="0" applyAlignmentFormats="0" applyWidthHeightFormats="1" dataCaption="Valores" grandTotalCaption="Total" updatedVersion="8" minRefreshableVersion="3" useAutoFormatting="1" itemPrintTitles="1" createdVersion="8" indent="0" compact="0" compactData="0" multipleFieldFilters="0" chartFormat="1">
  <location ref="F3:N17" firstHeaderRow="1" firstDataRow="2" firstDataCol="1"/>
  <pivotFields count="9">
    <pivotField compact="0" outline="0" showAll="0"/>
    <pivotField compact="0" numFmtId="14" outline="0" showAll="0"/>
    <pivotField compact="0" outline="0" showAll="0">
      <items count="11">
        <item x="4"/>
        <item x="3"/>
        <item x="0"/>
        <item x="2"/>
        <item x="1"/>
        <item x="9"/>
        <item x="7"/>
        <item x="5"/>
        <item x="8"/>
        <item x="6"/>
        <item t="default"/>
      </items>
    </pivotField>
    <pivotField axis="axisRow" compact="0" outline="0" showAll="0">
      <items count="13">
        <item x="1"/>
        <item x="2"/>
        <item x="3"/>
        <item x="4"/>
        <item x="0"/>
        <item x="7"/>
        <item x="6"/>
        <item x="9"/>
        <item x="10"/>
        <item x="8"/>
        <item x="5"/>
        <item x="11"/>
        <item t="default"/>
      </items>
    </pivotField>
    <pivotField compact="0" outline="0" showAll="0" sortType="descending" defaultSubtotal="0">
      <items count="27">
        <item sd="0" x="8"/>
        <item sd="0" x="12"/>
        <item sd="0" x="7"/>
        <item sd="0" x="18"/>
        <item sd="0" x="17"/>
        <item sd="0" x="16"/>
        <item sd="0" x="15"/>
        <item sd="0" x="20"/>
        <item sd="0" x="23"/>
        <item sd="0" x="2"/>
        <item sd="0" x="14"/>
        <item sd="0" x="19"/>
        <item sd="0" x="3"/>
        <item sd="0" x="22"/>
        <item sd="0" x="11"/>
        <item sd="0" x="21"/>
        <item sd="0" x="1"/>
        <item sd="0" x="9"/>
        <item sd="0" x="4"/>
        <item sd="0" x="5"/>
        <item sd="0" x="10"/>
        <item sd="0" x="0"/>
        <item sd="0" x="13"/>
        <item sd="0" x="25"/>
        <item sd="0" x="24"/>
        <item sd="0" x="6"/>
        <item sd="0" x="26"/>
      </items>
    </pivotField>
    <pivotField compact="0" outline="0" showAll="0"/>
    <pivotField dataField="1" compact="0" outline="0" showAll="0"/>
    <pivotField axis="axisCol" compact="0" outline="0" showAll="0">
      <items count="10">
        <item x="2"/>
        <item x="4"/>
        <item x="3"/>
        <item m="1" x="8"/>
        <item x="6"/>
        <item x="0"/>
        <item x="1"/>
        <item m="1" x="7"/>
        <item x="5"/>
        <item t="default"/>
      </items>
    </pivotField>
    <pivotField compact="0" outline="0" showAll="0"/>
  </pivotFields>
  <rowFields count="1">
    <field x="3"/>
  </rowFields>
  <rowItems count="13">
    <i>
      <x/>
    </i>
    <i>
      <x v="1"/>
    </i>
    <i>
      <x v="2"/>
    </i>
    <i>
      <x v="3"/>
    </i>
    <i>
      <x v="4"/>
    </i>
    <i>
      <x v="5"/>
    </i>
    <i>
      <x v="6"/>
    </i>
    <i>
      <x v="7"/>
    </i>
    <i>
      <x v="8"/>
    </i>
    <i>
      <x v="9"/>
    </i>
    <i>
      <x v="10"/>
    </i>
    <i>
      <x v="11"/>
    </i>
    <i t="grand">
      <x/>
    </i>
  </rowItems>
  <colFields count="1">
    <field x="7"/>
  </colFields>
  <colItems count="8">
    <i>
      <x/>
    </i>
    <i>
      <x v="1"/>
    </i>
    <i>
      <x v="2"/>
    </i>
    <i>
      <x v="4"/>
    </i>
    <i>
      <x v="5"/>
    </i>
    <i>
      <x v="6"/>
    </i>
    <i>
      <x v="8"/>
    </i>
    <i t="grand">
      <x/>
    </i>
  </colItems>
  <dataFields count="1">
    <dataField name="Cuenta de Tipo de trabajo anterior" fld="6" subtotal="count" baseField="0" baseItem="0"/>
  </dataFields>
  <formats count="18">
    <format dxfId="36">
      <pivotArea type="all" dataOnly="0" outline="0" fieldPosition="0"/>
    </format>
    <format dxfId="35">
      <pivotArea outline="0" collapsedLevelsAreSubtotals="1" fieldPosition="0"/>
    </format>
    <format dxfId="34">
      <pivotArea grandRow="1" outline="0" collapsedLevelsAreSubtotals="1" fieldPosition="0"/>
    </format>
    <format dxfId="33">
      <pivotArea dataOnly="0" labelOnly="1" grandRow="1" outline="0" fieldPosition="0"/>
    </format>
    <format dxfId="32">
      <pivotArea dataOnly="0" grandCol="1" outline="0" fieldPosition="0"/>
    </format>
    <format dxfId="31">
      <pivotArea grandRow="1" outline="0" collapsedLevelsAreSubtotals="1" fieldPosition="0"/>
    </format>
    <format dxfId="30">
      <pivotArea dataOnly="0" labelOnly="1" grandRow="1" outline="0" fieldPosition="0"/>
    </format>
    <format dxfId="29">
      <pivotArea grandCol="1" outline="0" collapsedLevelsAreSubtotals="1" fieldPosition="0"/>
    </format>
    <format dxfId="28">
      <pivotArea field="3" type="button" dataOnly="0" labelOnly="1" outline="0" axis="axisRow" fieldPosition="0"/>
    </format>
    <format dxfId="27">
      <pivotArea dataOnly="0" labelOnly="1" outline="0" fieldPosition="0">
        <references count="1">
          <reference field="3" count="0"/>
        </references>
      </pivotArea>
    </format>
    <format dxfId="26">
      <pivotArea outline="0" fieldPosition="0">
        <references count="1">
          <reference field="3" count="1" selected="0">
            <x v="0"/>
          </reference>
        </references>
      </pivotArea>
    </format>
    <format dxfId="25">
      <pivotArea dataOnly="0" labelOnly="1" outline="0" fieldPosition="0">
        <references count="1">
          <reference field="3" count="1">
            <x v="0"/>
          </reference>
        </references>
      </pivotArea>
    </format>
    <format dxfId="24">
      <pivotArea outline="0" fieldPosition="0">
        <references count="1">
          <reference field="3" count="1" selected="0">
            <x v="1"/>
          </reference>
        </references>
      </pivotArea>
    </format>
    <format dxfId="23">
      <pivotArea dataOnly="0" labelOnly="1" outline="0" fieldPosition="0">
        <references count="1">
          <reference field="3" count="1">
            <x v="1"/>
          </reference>
        </references>
      </pivotArea>
    </format>
    <format dxfId="22">
      <pivotArea outline="0" fieldPosition="0">
        <references count="1">
          <reference field="3" count="1" selected="0">
            <x v="2"/>
          </reference>
        </references>
      </pivotArea>
    </format>
    <format dxfId="21">
      <pivotArea dataOnly="0" labelOnly="1" outline="0" fieldPosition="0">
        <references count="1">
          <reference field="3" count="1">
            <x v="2"/>
          </reference>
        </references>
      </pivotArea>
    </format>
    <format dxfId="20">
      <pivotArea outline="0" fieldPosition="0">
        <references count="1">
          <reference field="3" count="1" selected="0">
            <x v="2"/>
          </reference>
        </references>
      </pivotArea>
    </format>
    <format dxfId="19">
      <pivotArea dataOnly="0" labelOnly="1" outline="0" fieldPosition="0">
        <references count="1">
          <reference field="3"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6A4EC-83D3-E847-A657-A4E34CD48042}" name="TablaDinámica6" cacheId="2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3:B11" firstHeaderRow="1" firstDataRow="1" firstDataCol="1"/>
  <pivotFields count="9">
    <pivotField showAll="0"/>
    <pivotField dataField="1" numFmtId="14" showAll="0"/>
    <pivotField showAll="0"/>
    <pivotField showAll="0"/>
    <pivotField showAll="0"/>
    <pivotField showAll="0"/>
    <pivotField showAll="0"/>
    <pivotField axis="axisRow" showAll="0" sortType="descending">
      <items count="10">
        <item x="5"/>
        <item m="1" x="7"/>
        <item x="1"/>
        <item x="0"/>
        <item x="6"/>
        <item m="1" x="8"/>
        <item x="3"/>
        <item x="4"/>
        <item x="2"/>
        <item t="default"/>
      </items>
    </pivotField>
    <pivotField showAll="0"/>
  </pivotFields>
  <rowFields count="1">
    <field x="7"/>
  </rowFields>
  <rowItems count="8">
    <i>
      <x/>
    </i>
    <i>
      <x v="2"/>
    </i>
    <i>
      <x v="3"/>
    </i>
    <i>
      <x v="4"/>
    </i>
    <i>
      <x v="6"/>
    </i>
    <i>
      <x v="7"/>
    </i>
    <i>
      <x v="8"/>
    </i>
    <i t="grand">
      <x/>
    </i>
  </rowItems>
  <colItems count="1">
    <i/>
  </colItems>
  <dataFields count="1">
    <dataField name="Cuenta de Fecha"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34"/>
  <sheetViews>
    <sheetView workbookViewId="0">
      <selection activeCell="K40" sqref="K40"/>
    </sheetView>
  </sheetViews>
  <sheetFormatPr baseColWidth="10" defaultColWidth="8.83203125" defaultRowHeight="15" x14ac:dyDescent="0.2"/>
  <cols>
    <col min="3" max="3" width="8.83203125" style="5"/>
    <col min="4" max="4" width="15.5" bestFit="1" customWidth="1"/>
    <col min="5" max="5" width="15.5" customWidth="1"/>
    <col min="6" max="6" width="34.83203125" bestFit="1" customWidth="1"/>
    <col min="7" max="7" width="58.33203125" bestFit="1" customWidth="1"/>
    <col min="8" max="8" width="5.6640625" customWidth="1"/>
    <col min="9" max="9" width="7.1640625" customWidth="1"/>
    <col min="10" max="10" width="71.5" customWidth="1"/>
  </cols>
  <sheetData>
    <row r="1" spans="1:11" x14ac:dyDescent="0.2">
      <c r="A1" s="1" t="s">
        <v>0</v>
      </c>
      <c r="B1" s="1"/>
      <c r="C1" s="4" t="s">
        <v>246</v>
      </c>
      <c r="D1" s="1" t="s">
        <v>1</v>
      </c>
      <c r="E1" s="1" t="s">
        <v>253</v>
      </c>
      <c r="F1" s="1" t="s">
        <v>2</v>
      </c>
      <c r="G1" s="1" t="s">
        <v>3</v>
      </c>
      <c r="H1" s="1" t="s">
        <v>4</v>
      </c>
      <c r="I1" s="1" t="s">
        <v>5</v>
      </c>
      <c r="J1" s="1" t="s">
        <v>6</v>
      </c>
      <c r="K1" s="2" t="s">
        <v>263</v>
      </c>
    </row>
    <row r="2" spans="1:11" hidden="1" x14ac:dyDescent="0.2">
      <c r="A2">
        <v>126</v>
      </c>
      <c r="B2" t="str">
        <f>A2&amp;G2</f>
        <v>126[Gestión Hídrica El Soldado] Zona Veta Blanca Gateway ZM</v>
      </c>
      <c r="C2" s="5">
        <v>45913</v>
      </c>
      <c r="D2" t="s">
        <v>7</v>
      </c>
      <c r="E2" t="s">
        <v>209</v>
      </c>
      <c r="F2" t="s">
        <v>13</v>
      </c>
      <c r="G2" t="s">
        <v>175</v>
      </c>
      <c r="H2" t="s">
        <v>10</v>
      </c>
      <c r="I2" t="s">
        <v>15</v>
      </c>
      <c r="J2" t="s">
        <v>12</v>
      </c>
    </row>
    <row r="3" spans="1:11" hidden="1" x14ac:dyDescent="0.2">
      <c r="A3">
        <v>126</v>
      </c>
      <c r="B3" t="str">
        <f>A3&amp;G3</f>
        <v>126[Gestión Hídrica El Soldado] Zona Veta Blanca Gateway ZM</v>
      </c>
      <c r="C3" s="5">
        <v>45913</v>
      </c>
      <c r="D3" t="s">
        <v>7</v>
      </c>
      <c r="E3" t="s">
        <v>209</v>
      </c>
      <c r="F3" t="s">
        <v>13</v>
      </c>
      <c r="G3" t="s">
        <v>175</v>
      </c>
      <c r="H3" t="s">
        <v>10</v>
      </c>
      <c r="I3" t="s">
        <v>11</v>
      </c>
      <c r="J3" t="s">
        <v>12</v>
      </c>
    </row>
    <row r="4" spans="1:11" hidden="1" x14ac:dyDescent="0.2">
      <c r="A4">
        <v>276</v>
      </c>
      <c r="B4" t="str">
        <f>A4&amp;G4</f>
        <v>276[Gestión Hídrica El Soldado] Pozo El Melón N° 02 (PEM-02) Gateway A</v>
      </c>
      <c r="C4" s="5">
        <v>45979</v>
      </c>
      <c r="D4" t="s">
        <v>7</v>
      </c>
      <c r="E4" t="s">
        <v>209</v>
      </c>
      <c r="F4" t="s">
        <v>13</v>
      </c>
      <c r="G4" t="s">
        <v>68</v>
      </c>
      <c r="H4" t="s">
        <v>10</v>
      </c>
      <c r="I4" t="s">
        <v>11</v>
      </c>
      <c r="J4" t="s">
        <v>12</v>
      </c>
    </row>
    <row r="5" spans="1:11" hidden="1" x14ac:dyDescent="0.2">
      <c r="A5">
        <v>276</v>
      </c>
      <c r="B5" t="str">
        <f>A5&amp;G5</f>
        <v>276[Gestión Hídrica El Soldado] Pozo El Melón N° 02 (PEM-02) Gateway A</v>
      </c>
      <c r="C5" s="5">
        <v>45979</v>
      </c>
      <c r="D5" t="s">
        <v>7</v>
      </c>
      <c r="E5" t="s">
        <v>209</v>
      </c>
      <c r="F5" t="s">
        <v>13</v>
      </c>
      <c r="G5" t="s">
        <v>68</v>
      </c>
      <c r="H5" t="s">
        <v>10</v>
      </c>
      <c r="I5" t="s">
        <v>11</v>
      </c>
      <c r="J5" t="s">
        <v>12</v>
      </c>
    </row>
    <row r="6" spans="1:11" hidden="1" x14ac:dyDescent="0.2">
      <c r="A6">
        <v>338</v>
      </c>
      <c r="B6" t="str">
        <f>A6&amp;G6</f>
        <v>338[Gestión Hídrica El Soldado] Pozo El Melón N° 09 (PEM-09)</v>
      </c>
      <c r="C6" s="5">
        <v>46007</v>
      </c>
      <c r="D6" t="s">
        <v>20</v>
      </c>
      <c r="E6" t="s">
        <v>209</v>
      </c>
      <c r="F6" t="s">
        <v>13</v>
      </c>
      <c r="G6" t="s">
        <v>71</v>
      </c>
      <c r="H6" t="s">
        <v>10</v>
      </c>
      <c r="I6" t="s">
        <v>11</v>
      </c>
      <c r="J6" t="s">
        <v>241</v>
      </c>
    </row>
    <row r="7" spans="1:11" hidden="1" x14ac:dyDescent="0.2">
      <c r="A7">
        <v>338</v>
      </c>
      <c r="B7" t="str">
        <f>A7&amp;G7</f>
        <v>338[Gestión Hídrica El Soldado] Pozo El Melón N° 09 (PEM-09)</v>
      </c>
      <c r="C7" s="5">
        <v>46007</v>
      </c>
      <c r="D7" t="s">
        <v>20</v>
      </c>
      <c r="E7" t="s">
        <v>209</v>
      </c>
      <c r="F7" t="s">
        <v>13</v>
      </c>
      <c r="G7" t="s">
        <v>71</v>
      </c>
      <c r="H7" t="s">
        <v>10</v>
      </c>
      <c r="I7" t="s">
        <v>11</v>
      </c>
      <c r="J7" t="s">
        <v>241</v>
      </c>
    </row>
    <row r="8" spans="1:11" hidden="1" x14ac:dyDescent="0.2">
      <c r="A8">
        <v>339</v>
      </c>
      <c r="B8" t="str">
        <f>A8&amp;G8</f>
        <v>339[Gestión Hídrica El Soldado] Pozo Los Litres N° 06 (PLL-06) Nodo 154</v>
      </c>
      <c r="C8" s="5">
        <v>46008</v>
      </c>
      <c r="D8" t="s">
        <v>20</v>
      </c>
      <c r="E8" t="s">
        <v>209</v>
      </c>
      <c r="F8" t="s">
        <v>13</v>
      </c>
      <c r="G8" t="s">
        <v>57</v>
      </c>
      <c r="H8" t="s">
        <v>10</v>
      </c>
      <c r="I8" t="s">
        <v>11</v>
      </c>
      <c r="J8" t="s">
        <v>242</v>
      </c>
    </row>
    <row r="9" spans="1:11" hidden="1" x14ac:dyDescent="0.2">
      <c r="A9">
        <v>339</v>
      </c>
      <c r="B9" t="str">
        <f>A9&amp;G9</f>
        <v>339[Gestión Hídrica El Soldado] Aguas de Inyección (AO-2) Nodo A15</v>
      </c>
      <c r="C9" s="5">
        <v>46008</v>
      </c>
      <c r="D9" t="s">
        <v>20</v>
      </c>
      <c r="E9" t="s">
        <v>209</v>
      </c>
      <c r="F9" t="s">
        <v>13</v>
      </c>
      <c r="G9" t="s">
        <v>240</v>
      </c>
      <c r="H9" t="s">
        <v>10</v>
      </c>
      <c r="I9" t="s">
        <v>11</v>
      </c>
      <c r="J9" t="s">
        <v>242</v>
      </c>
    </row>
    <row r="10" spans="1:11" hidden="1" x14ac:dyDescent="0.2">
      <c r="A10">
        <v>339</v>
      </c>
      <c r="B10" t="str">
        <f>A10&amp;G10</f>
        <v>339[Gestión Hídrica El Soldado] Pozo Los Litres N° 06 (PLL-06) Nodo 154</v>
      </c>
      <c r="C10" s="5">
        <v>46008</v>
      </c>
      <c r="D10" t="s">
        <v>20</v>
      </c>
      <c r="E10" t="s">
        <v>209</v>
      </c>
      <c r="F10" t="s">
        <v>13</v>
      </c>
      <c r="G10" t="s">
        <v>57</v>
      </c>
      <c r="H10" t="s">
        <v>10</v>
      </c>
      <c r="I10" t="s">
        <v>11</v>
      </c>
      <c r="J10" t="s">
        <v>242</v>
      </c>
    </row>
    <row r="11" spans="1:11" hidden="1" x14ac:dyDescent="0.2">
      <c r="A11">
        <v>339</v>
      </c>
      <c r="B11" t="str">
        <f>A11&amp;G11</f>
        <v>339[Gestión Hídrica El Soldado] Aguas de Inyección (AO-2) Nodo A15</v>
      </c>
      <c r="C11" s="5">
        <v>46008</v>
      </c>
      <c r="D11" t="s">
        <v>20</v>
      </c>
      <c r="E11" t="s">
        <v>209</v>
      </c>
      <c r="F11" t="s">
        <v>13</v>
      </c>
      <c r="G11" t="s">
        <v>240</v>
      </c>
      <c r="H11" t="s">
        <v>10</v>
      </c>
      <c r="I11" t="s">
        <v>11</v>
      </c>
      <c r="J11" t="s">
        <v>242</v>
      </c>
    </row>
    <row r="12" spans="1:11" hidden="1" x14ac:dyDescent="0.2">
      <c r="A12">
        <v>78</v>
      </c>
      <c r="B12" t="str">
        <f>A12&amp;G12</f>
        <v>78[ASP Pozos] Pozo 24</v>
      </c>
      <c r="C12" s="5">
        <v>45894</v>
      </c>
      <c r="D12" t="s">
        <v>107</v>
      </c>
      <c r="E12" t="s">
        <v>257</v>
      </c>
      <c r="F12" t="s">
        <v>122</v>
      </c>
      <c r="G12" t="s">
        <v>201</v>
      </c>
      <c r="H12" t="s">
        <v>10</v>
      </c>
      <c r="I12" t="s">
        <v>25</v>
      </c>
      <c r="J12" t="s">
        <v>202</v>
      </c>
      <c r="K12" t="s">
        <v>264</v>
      </c>
    </row>
    <row r="13" spans="1:11" x14ac:dyDescent="0.2">
      <c r="A13">
        <v>81</v>
      </c>
      <c r="B13" t="str">
        <f>A13&amp;G13</f>
        <v>81[Gestión Hídrica El Soldado] Zona Veta Blanca Nodo Piscina 4000</v>
      </c>
      <c r="C13" s="5">
        <v>45894</v>
      </c>
      <c r="D13" t="s">
        <v>20</v>
      </c>
      <c r="E13" t="s">
        <v>209</v>
      </c>
      <c r="F13" t="s">
        <v>13</v>
      </c>
      <c r="G13" t="s">
        <v>14</v>
      </c>
      <c r="H13" t="s">
        <v>10</v>
      </c>
      <c r="I13" t="s">
        <v>11</v>
      </c>
      <c r="J13" t="s">
        <v>200</v>
      </c>
      <c r="K13" t="s">
        <v>265</v>
      </c>
    </row>
    <row r="14" spans="1:11" x14ac:dyDescent="0.2">
      <c r="A14">
        <v>81</v>
      </c>
      <c r="B14" t="str">
        <f>A14&amp;G14</f>
        <v>81[Gestión Hídrica El Soldado] Sector -300 Gateway</v>
      </c>
      <c r="C14" s="5">
        <v>45894</v>
      </c>
      <c r="D14" t="s">
        <v>20</v>
      </c>
      <c r="E14" t="s">
        <v>209</v>
      </c>
      <c r="F14" t="s">
        <v>13</v>
      </c>
      <c r="G14" t="s">
        <v>38</v>
      </c>
      <c r="H14" t="s">
        <v>10</v>
      </c>
      <c r="I14" t="s">
        <v>11</v>
      </c>
      <c r="J14" t="s">
        <v>200</v>
      </c>
      <c r="K14" t="s">
        <v>266</v>
      </c>
    </row>
    <row r="15" spans="1:11" hidden="1" x14ac:dyDescent="0.2">
      <c r="A15">
        <v>83</v>
      </c>
      <c r="B15" t="str">
        <f>A15&amp;G15</f>
        <v xml:space="preserve">83Bodega S. Recursos Hídricos </v>
      </c>
      <c r="C15" s="5">
        <v>45896</v>
      </c>
      <c r="D15" t="s">
        <v>34</v>
      </c>
      <c r="E15" t="s">
        <v>209</v>
      </c>
      <c r="F15" t="s">
        <v>198</v>
      </c>
      <c r="G15" t="s">
        <v>199</v>
      </c>
      <c r="H15" t="s">
        <v>10</v>
      </c>
      <c r="I15" t="s">
        <v>203</v>
      </c>
      <c r="K15" t="s">
        <v>267</v>
      </c>
    </row>
    <row r="16" spans="1:11" x14ac:dyDescent="0.2">
      <c r="A16">
        <v>93</v>
      </c>
      <c r="B16" t="str">
        <f>A16&amp;G16</f>
        <v>93[Gestión Hídrica El Soldado] Sector -300 Gateway</v>
      </c>
      <c r="C16" s="5">
        <v>45902</v>
      </c>
      <c r="D16" t="s">
        <v>20</v>
      </c>
      <c r="E16" t="s">
        <v>209</v>
      </c>
      <c r="F16" t="s">
        <v>13</v>
      </c>
      <c r="G16" t="s">
        <v>38</v>
      </c>
      <c r="H16" t="s">
        <v>10</v>
      </c>
      <c r="I16" t="s">
        <v>11</v>
      </c>
      <c r="J16" t="s">
        <v>12</v>
      </c>
      <c r="K16" t="s">
        <v>268</v>
      </c>
    </row>
    <row r="17" spans="1:11" x14ac:dyDescent="0.2">
      <c r="A17">
        <v>93</v>
      </c>
      <c r="B17" t="str">
        <f>A17&amp;G17</f>
        <v>93[Gestión Hídrica El Soldado] Pozo Los Litres N° 02 (PLL-02) Nodo A13</v>
      </c>
      <c r="C17" s="5">
        <v>45902</v>
      </c>
      <c r="D17" t="s">
        <v>20</v>
      </c>
      <c r="E17" t="s">
        <v>209</v>
      </c>
      <c r="F17" t="s">
        <v>13</v>
      </c>
      <c r="G17" t="s">
        <v>53</v>
      </c>
      <c r="H17" t="s">
        <v>10</v>
      </c>
      <c r="I17" t="s">
        <v>11</v>
      </c>
      <c r="J17" t="s">
        <v>12</v>
      </c>
      <c r="K17" t="s">
        <v>269</v>
      </c>
    </row>
    <row r="18" spans="1:11" hidden="1" x14ac:dyDescent="0.2">
      <c r="A18">
        <v>94</v>
      </c>
      <c r="B18" t="str">
        <f>A18&amp;G18</f>
        <v>94[Los Bronces - Riecillos] R3050 Caudalimetro C</v>
      </c>
      <c r="C18" s="5">
        <v>45902</v>
      </c>
      <c r="D18" t="s">
        <v>43</v>
      </c>
      <c r="E18" t="s">
        <v>256</v>
      </c>
      <c r="F18" t="s">
        <v>21</v>
      </c>
      <c r="G18" t="s">
        <v>27</v>
      </c>
      <c r="H18" t="s">
        <v>10</v>
      </c>
      <c r="I18" t="s">
        <v>25</v>
      </c>
      <c r="J18" t="s">
        <v>197</v>
      </c>
      <c r="K18" t="s">
        <v>270</v>
      </c>
    </row>
    <row r="19" spans="1:11" hidden="1" x14ac:dyDescent="0.2">
      <c r="A19">
        <v>94</v>
      </c>
      <c r="B19" t="str">
        <f>A19&amp;G19</f>
        <v>94[Los Bronces - Riecillos] R3050 Caudalimetro A</v>
      </c>
      <c r="C19" s="5">
        <v>45902</v>
      </c>
      <c r="D19" t="s">
        <v>43</v>
      </c>
      <c r="E19" t="s">
        <v>256</v>
      </c>
      <c r="F19" t="s">
        <v>21</v>
      </c>
      <c r="G19" t="s">
        <v>183</v>
      </c>
      <c r="H19" t="s">
        <v>10</v>
      </c>
      <c r="I19" t="s">
        <v>25</v>
      </c>
      <c r="J19" t="s">
        <v>197</v>
      </c>
      <c r="K19" t="s">
        <v>271</v>
      </c>
    </row>
    <row r="20" spans="1:11" hidden="1" x14ac:dyDescent="0.2">
      <c r="A20">
        <v>94</v>
      </c>
      <c r="B20" t="str">
        <f>A20&amp;G20</f>
        <v>94[Los Bronces - Riecillos] R3050 Caudalimetro E</v>
      </c>
      <c r="C20" s="5">
        <v>45902</v>
      </c>
      <c r="D20" t="s">
        <v>43</v>
      </c>
      <c r="E20" t="s">
        <v>256</v>
      </c>
      <c r="F20" t="s">
        <v>21</v>
      </c>
      <c r="G20" t="s">
        <v>72</v>
      </c>
      <c r="H20" t="s">
        <v>10</v>
      </c>
      <c r="I20" t="s">
        <v>25</v>
      </c>
      <c r="J20" t="s">
        <v>197</v>
      </c>
      <c r="K20" t="s">
        <v>272</v>
      </c>
    </row>
    <row r="21" spans="1:11" hidden="1" x14ac:dyDescent="0.2">
      <c r="A21">
        <v>94</v>
      </c>
      <c r="B21" t="str">
        <f>A21&amp;G21</f>
        <v>94[Los Bronces - Riecillos] R3050 Gateway</v>
      </c>
      <c r="C21" s="5">
        <v>45902</v>
      </c>
      <c r="D21" t="s">
        <v>43</v>
      </c>
      <c r="E21" t="s">
        <v>256</v>
      </c>
      <c r="F21" t="s">
        <v>21</v>
      </c>
      <c r="G21" t="s">
        <v>24</v>
      </c>
      <c r="H21" t="s">
        <v>10</v>
      </c>
      <c r="I21" t="s">
        <v>25</v>
      </c>
      <c r="J21" t="s">
        <v>197</v>
      </c>
      <c r="K21" t="s">
        <v>273</v>
      </c>
    </row>
    <row r="22" spans="1:11" hidden="1" x14ac:dyDescent="0.2">
      <c r="A22">
        <v>95</v>
      </c>
      <c r="B22" t="str">
        <f>A22&amp;G22</f>
        <v>95[Global Tórtolas] Pozo O4B</v>
      </c>
      <c r="C22" s="5">
        <v>45902</v>
      </c>
      <c r="D22" t="s">
        <v>47</v>
      </c>
      <c r="E22" t="s">
        <v>254</v>
      </c>
      <c r="F22" t="s">
        <v>48</v>
      </c>
      <c r="G22" t="s">
        <v>194</v>
      </c>
      <c r="H22" t="s">
        <v>10</v>
      </c>
      <c r="I22" t="s">
        <v>60</v>
      </c>
      <c r="J22" t="s">
        <v>196</v>
      </c>
      <c r="K22" t="s">
        <v>274</v>
      </c>
    </row>
    <row r="23" spans="1:11" hidden="1" x14ac:dyDescent="0.2">
      <c r="A23">
        <v>96</v>
      </c>
      <c r="B23" t="str">
        <f>A23&amp;G23</f>
        <v>96[Global Tórtolas] Pozo O4B</v>
      </c>
      <c r="C23" s="5">
        <v>45902</v>
      </c>
      <c r="D23" t="s">
        <v>47</v>
      </c>
      <c r="E23" t="s">
        <v>254</v>
      </c>
      <c r="F23" t="s">
        <v>48</v>
      </c>
      <c r="G23" t="s">
        <v>194</v>
      </c>
      <c r="H23" t="s">
        <v>10</v>
      </c>
      <c r="I23" t="s">
        <v>60</v>
      </c>
      <c r="J23" t="s">
        <v>195</v>
      </c>
      <c r="K23" t="s">
        <v>275</v>
      </c>
    </row>
    <row r="24" spans="1:11" x14ac:dyDescent="0.2">
      <c r="A24">
        <v>97</v>
      </c>
      <c r="B24" t="str">
        <f>A24&amp;G24</f>
        <v>97[Gestión Hídrica El Soldado] Sector -300 Gateway</v>
      </c>
      <c r="C24" s="5">
        <v>45902</v>
      </c>
      <c r="D24" t="s">
        <v>20</v>
      </c>
      <c r="E24" t="s">
        <v>209</v>
      </c>
      <c r="F24" t="s">
        <v>13</v>
      </c>
      <c r="G24" t="s">
        <v>38</v>
      </c>
      <c r="H24" t="s">
        <v>10</v>
      </c>
      <c r="I24" t="s">
        <v>11</v>
      </c>
      <c r="J24" t="s">
        <v>193</v>
      </c>
      <c r="K24" t="s">
        <v>276</v>
      </c>
    </row>
    <row r="25" spans="1:11" hidden="1" x14ac:dyDescent="0.2">
      <c r="A25">
        <v>101</v>
      </c>
      <c r="B25" t="str">
        <f>A25&amp;G25</f>
        <v>101[Gestión Hídrica El Soldado] Mina UG Canaleta Mina Planta</v>
      </c>
      <c r="C25" s="5">
        <v>45903</v>
      </c>
      <c r="D25" t="s">
        <v>20</v>
      </c>
      <c r="E25" t="s">
        <v>209</v>
      </c>
      <c r="F25" t="s">
        <v>13</v>
      </c>
      <c r="G25" t="s">
        <v>189</v>
      </c>
      <c r="H25" t="s">
        <v>10</v>
      </c>
      <c r="I25" t="s">
        <v>28</v>
      </c>
      <c r="J25" t="s">
        <v>190</v>
      </c>
      <c r="K25" t="s">
        <v>277</v>
      </c>
    </row>
    <row r="26" spans="1:11" hidden="1" x14ac:dyDescent="0.2">
      <c r="A26">
        <v>101</v>
      </c>
      <c r="B26" t="str">
        <f>A26&amp;G26</f>
        <v>101[El Soldado Cachimba Relevadoras] Cachimba Relevadoras</v>
      </c>
      <c r="C26" s="5">
        <v>45903</v>
      </c>
      <c r="D26" t="s">
        <v>20</v>
      </c>
      <c r="E26" t="s">
        <v>209</v>
      </c>
      <c r="F26" t="s">
        <v>115</v>
      </c>
      <c r="G26" t="s">
        <v>116</v>
      </c>
      <c r="H26" t="s">
        <v>10</v>
      </c>
      <c r="I26" t="s">
        <v>203</v>
      </c>
      <c r="J26" t="s">
        <v>190</v>
      </c>
      <c r="K26" t="s">
        <v>278</v>
      </c>
    </row>
    <row r="27" spans="1:11" hidden="1" x14ac:dyDescent="0.2">
      <c r="A27">
        <v>101</v>
      </c>
      <c r="B27" t="str">
        <f>A27&amp;G27</f>
        <v>101[El Soldado Cachimba El Cobre] El Soldado Cachimba el Cobre</v>
      </c>
      <c r="C27" s="5">
        <v>45903</v>
      </c>
      <c r="D27" t="s">
        <v>20</v>
      </c>
      <c r="E27" t="s">
        <v>209</v>
      </c>
      <c r="F27" t="s">
        <v>191</v>
      </c>
      <c r="G27" t="s">
        <v>192</v>
      </c>
      <c r="H27" t="s">
        <v>10</v>
      </c>
      <c r="I27" t="s">
        <v>203</v>
      </c>
      <c r="J27" t="s">
        <v>190</v>
      </c>
      <c r="K27" t="s">
        <v>279</v>
      </c>
    </row>
    <row r="28" spans="1:11" hidden="1" x14ac:dyDescent="0.2">
      <c r="A28">
        <v>101</v>
      </c>
      <c r="B28" t="str">
        <f>A28&amp;G28</f>
        <v>101[Gestión Hídrica El Soldado] Piscina 3800 desde V.B</v>
      </c>
      <c r="C28" s="5">
        <v>45903</v>
      </c>
      <c r="D28" t="s">
        <v>20</v>
      </c>
      <c r="E28" t="s">
        <v>209</v>
      </c>
      <c r="F28" t="s">
        <v>13</v>
      </c>
      <c r="G28" t="s">
        <v>160</v>
      </c>
      <c r="H28" t="s">
        <v>10</v>
      </c>
      <c r="I28" t="s">
        <v>15</v>
      </c>
      <c r="J28" t="s">
        <v>190</v>
      </c>
      <c r="K28" t="s">
        <v>280</v>
      </c>
    </row>
    <row r="29" spans="1:11" hidden="1" x14ac:dyDescent="0.2">
      <c r="A29">
        <v>101</v>
      </c>
      <c r="B29" t="str">
        <f>A29&amp;G29</f>
        <v>101[Gestión Hídrica El Soldado] PM-4 Nodo B20</v>
      </c>
      <c r="C29" s="5">
        <v>45903</v>
      </c>
      <c r="D29" t="s">
        <v>20</v>
      </c>
      <c r="E29" t="s">
        <v>209</v>
      </c>
      <c r="F29" t="s">
        <v>13</v>
      </c>
      <c r="G29" t="s">
        <v>63</v>
      </c>
      <c r="H29" t="s">
        <v>10</v>
      </c>
      <c r="I29" t="s">
        <v>28</v>
      </c>
      <c r="J29" t="s">
        <v>190</v>
      </c>
      <c r="K29" t="s">
        <v>281</v>
      </c>
    </row>
    <row r="30" spans="1:11" hidden="1" x14ac:dyDescent="0.2">
      <c r="A30">
        <v>115</v>
      </c>
      <c r="B30" t="str">
        <f>A30&amp;G30</f>
        <v>115[Los Bronces - Riecillos] R3050 Caudalimetro C</v>
      </c>
      <c r="C30" s="5">
        <v>45903</v>
      </c>
      <c r="D30" t="s">
        <v>43</v>
      </c>
      <c r="E30" t="s">
        <v>256</v>
      </c>
      <c r="F30" t="s">
        <v>21</v>
      </c>
      <c r="G30" t="s">
        <v>27</v>
      </c>
      <c r="H30" t="s">
        <v>10</v>
      </c>
      <c r="I30" t="s">
        <v>28</v>
      </c>
      <c r="J30" t="s">
        <v>182</v>
      </c>
      <c r="K30" t="s">
        <v>282</v>
      </c>
    </row>
    <row r="31" spans="1:11" hidden="1" x14ac:dyDescent="0.2">
      <c r="A31">
        <v>115</v>
      </c>
      <c r="B31" t="str">
        <f>A31&amp;G31</f>
        <v>115[Los Bronces - Riecillos] R3050 Caudalimetro A</v>
      </c>
      <c r="C31" s="5">
        <v>45903</v>
      </c>
      <c r="D31" t="s">
        <v>43</v>
      </c>
      <c r="E31" t="s">
        <v>256</v>
      </c>
      <c r="F31" t="s">
        <v>21</v>
      </c>
      <c r="G31" t="s">
        <v>183</v>
      </c>
      <c r="H31" t="s">
        <v>10</v>
      </c>
      <c r="I31" t="s">
        <v>28</v>
      </c>
      <c r="J31" t="s">
        <v>182</v>
      </c>
      <c r="K31" t="s">
        <v>283</v>
      </c>
    </row>
    <row r="32" spans="1:11" hidden="1" x14ac:dyDescent="0.2">
      <c r="A32">
        <v>115</v>
      </c>
      <c r="B32" t="str">
        <f>A32&amp;G32</f>
        <v>115[Los Bronces - Riecillos] R3050 Caudalimetro E</v>
      </c>
      <c r="C32" s="5">
        <v>45903</v>
      </c>
      <c r="D32" t="s">
        <v>43</v>
      </c>
      <c r="E32" t="s">
        <v>256</v>
      </c>
      <c r="F32" t="s">
        <v>21</v>
      </c>
      <c r="G32" t="s">
        <v>72</v>
      </c>
      <c r="H32" t="s">
        <v>10</v>
      </c>
      <c r="I32" t="s">
        <v>28</v>
      </c>
      <c r="J32" t="s">
        <v>182</v>
      </c>
      <c r="K32" t="s">
        <v>284</v>
      </c>
    </row>
    <row r="33" spans="1:11" hidden="1" x14ac:dyDescent="0.2">
      <c r="A33">
        <v>114</v>
      </c>
      <c r="B33" t="str">
        <f>A33&amp;G33</f>
        <v>114[Los Bronces - Riecillos] R2700 Caudalimetro B</v>
      </c>
      <c r="C33" s="5">
        <v>45904</v>
      </c>
      <c r="D33" t="s">
        <v>43</v>
      </c>
      <c r="E33" t="s">
        <v>256</v>
      </c>
      <c r="F33" t="s">
        <v>21</v>
      </c>
      <c r="G33" t="s">
        <v>22</v>
      </c>
      <c r="H33" t="s">
        <v>10</v>
      </c>
      <c r="I33" t="s">
        <v>28</v>
      </c>
      <c r="J33" t="s">
        <v>184</v>
      </c>
      <c r="K33" t="s">
        <v>285</v>
      </c>
    </row>
    <row r="34" spans="1:11" hidden="1" x14ac:dyDescent="0.2">
      <c r="A34">
        <v>114</v>
      </c>
      <c r="B34" t="str">
        <f>A34&amp;G34</f>
        <v>114[Los Bronces - Riecillos] R2700 Gateway</v>
      </c>
      <c r="C34" s="5">
        <v>45904</v>
      </c>
      <c r="D34" t="s">
        <v>43</v>
      </c>
      <c r="E34" t="s">
        <v>256</v>
      </c>
      <c r="F34" t="s">
        <v>21</v>
      </c>
      <c r="G34" t="s">
        <v>44</v>
      </c>
      <c r="H34" t="s">
        <v>10</v>
      </c>
      <c r="I34" t="s">
        <v>28</v>
      </c>
      <c r="J34" t="s">
        <v>184</v>
      </c>
      <c r="K34" t="s">
        <v>286</v>
      </c>
    </row>
    <row r="35" spans="1:11" hidden="1" x14ac:dyDescent="0.2">
      <c r="A35">
        <v>105</v>
      </c>
      <c r="B35" t="str">
        <f>A35&amp;G35</f>
        <v>105[Gestión Hídrica El Soldado] Zona Veta Blanca Gateway ZM</v>
      </c>
      <c r="C35" s="5">
        <v>45905</v>
      </c>
      <c r="D35" t="s">
        <v>47</v>
      </c>
      <c r="E35" t="s">
        <v>209</v>
      </c>
      <c r="F35" t="s">
        <v>13</v>
      </c>
      <c r="G35" t="s">
        <v>175</v>
      </c>
      <c r="H35" t="s">
        <v>10</v>
      </c>
      <c r="I35" t="s">
        <v>45</v>
      </c>
      <c r="J35" t="s">
        <v>188</v>
      </c>
      <c r="K35" t="s">
        <v>287</v>
      </c>
    </row>
    <row r="36" spans="1:11" hidden="1" x14ac:dyDescent="0.2">
      <c r="A36">
        <v>105</v>
      </c>
      <c r="B36" t="str">
        <f>A36&amp;G36</f>
        <v>105[Gestión Hídrica El Soldado] Sector -300 Gateway</v>
      </c>
      <c r="C36" s="5">
        <v>45905</v>
      </c>
      <c r="D36" t="s">
        <v>47</v>
      </c>
      <c r="E36" t="s">
        <v>209</v>
      </c>
      <c r="F36" t="s">
        <v>13</v>
      </c>
      <c r="G36" t="s">
        <v>38</v>
      </c>
      <c r="H36" t="s">
        <v>10</v>
      </c>
      <c r="I36" t="s">
        <v>15</v>
      </c>
      <c r="J36" t="s">
        <v>188</v>
      </c>
      <c r="K36" t="s">
        <v>288</v>
      </c>
    </row>
    <row r="37" spans="1:11" hidden="1" x14ac:dyDescent="0.2">
      <c r="A37">
        <v>110</v>
      </c>
      <c r="B37" t="str">
        <f>A37&amp;G37</f>
        <v>110[Abastible - PSR La Estrella] Abastible - PSR La Estrella</v>
      </c>
      <c r="C37" s="5">
        <v>45906</v>
      </c>
      <c r="D37" t="s">
        <v>47</v>
      </c>
      <c r="E37" t="s">
        <v>259</v>
      </c>
      <c r="F37" t="s">
        <v>185</v>
      </c>
      <c r="G37" t="s">
        <v>186</v>
      </c>
      <c r="H37" t="s">
        <v>10</v>
      </c>
      <c r="I37" t="s">
        <v>25</v>
      </c>
      <c r="J37" t="s">
        <v>187</v>
      </c>
      <c r="K37" t="s">
        <v>289</v>
      </c>
    </row>
    <row r="38" spans="1:11" hidden="1" x14ac:dyDescent="0.2">
      <c r="A38">
        <v>110</v>
      </c>
      <c r="B38" t="str">
        <f>A38&amp;G38</f>
        <v>110[Gestión Hídrica El Soldado] Estero El Cobre (ET-0F) Nodo B</v>
      </c>
      <c r="C38" s="5">
        <v>45906</v>
      </c>
      <c r="D38" t="s">
        <v>47</v>
      </c>
      <c r="E38" t="s">
        <v>209</v>
      </c>
      <c r="F38" t="s">
        <v>13</v>
      </c>
      <c r="G38" t="s">
        <v>163</v>
      </c>
      <c r="H38" t="s">
        <v>10</v>
      </c>
      <c r="I38" t="s">
        <v>25</v>
      </c>
      <c r="J38" t="s">
        <v>187</v>
      </c>
      <c r="K38" t="s">
        <v>289</v>
      </c>
    </row>
    <row r="39" spans="1:11" hidden="1" x14ac:dyDescent="0.2">
      <c r="A39">
        <v>110</v>
      </c>
      <c r="B39" t="str">
        <f>A39&amp;G39</f>
        <v>110[Gestión Hídrica El Soldado] Pozo N° 3A (P3A) Nodo B1</v>
      </c>
      <c r="C39" s="5">
        <v>45906</v>
      </c>
      <c r="D39" t="s">
        <v>47</v>
      </c>
      <c r="E39" t="s">
        <v>209</v>
      </c>
      <c r="F39" t="s">
        <v>13</v>
      </c>
      <c r="G39" t="s">
        <v>42</v>
      </c>
      <c r="H39" t="s">
        <v>10</v>
      </c>
      <c r="I39" t="s">
        <v>25</v>
      </c>
      <c r="J39" t="s">
        <v>187</v>
      </c>
      <c r="K39" t="s">
        <v>289</v>
      </c>
    </row>
    <row r="40" spans="1:11" x14ac:dyDescent="0.2">
      <c r="A40">
        <v>111</v>
      </c>
      <c r="B40" t="str">
        <f>A40&amp;G40</f>
        <v>111[Gestión Hídrica El Soldado] PM-2 Nodo B18</v>
      </c>
      <c r="C40" s="5">
        <v>45908</v>
      </c>
      <c r="D40" t="s">
        <v>7</v>
      </c>
      <c r="E40" t="s">
        <v>209</v>
      </c>
      <c r="F40" t="s">
        <v>13</v>
      </c>
      <c r="G40" t="s">
        <v>75</v>
      </c>
      <c r="H40" t="s">
        <v>10</v>
      </c>
      <c r="I40" t="s">
        <v>11</v>
      </c>
      <c r="J40" t="s">
        <v>12</v>
      </c>
      <c r="K40" t="s">
        <v>290</v>
      </c>
    </row>
    <row r="41" spans="1:11" x14ac:dyDescent="0.2">
      <c r="A41">
        <v>111</v>
      </c>
      <c r="B41" t="str">
        <f>A41&amp;G41</f>
        <v>111[Gestión Hídrica El Soldado] Pozo El Melón N° 01 (PEM-01) Nodo</v>
      </c>
      <c r="C41" s="5">
        <v>45908</v>
      </c>
      <c r="D41" t="s">
        <v>7</v>
      </c>
      <c r="E41" t="s">
        <v>209</v>
      </c>
      <c r="F41" t="s">
        <v>13</v>
      </c>
      <c r="G41" t="s">
        <v>178</v>
      </c>
      <c r="H41" t="s">
        <v>10</v>
      </c>
      <c r="I41" t="s">
        <v>11</v>
      </c>
      <c r="J41" t="s">
        <v>12</v>
      </c>
      <c r="K41" t="s">
        <v>291</v>
      </c>
    </row>
    <row r="42" spans="1:11" x14ac:dyDescent="0.2">
      <c r="A42">
        <v>111</v>
      </c>
      <c r="B42" t="str">
        <f>A42&amp;G42</f>
        <v>111[Gestión Hídrica El Soldado] Pozo Los Litres N° 05 (PLL-05)</v>
      </c>
      <c r="C42" s="5">
        <v>45908</v>
      </c>
      <c r="D42" t="s">
        <v>7</v>
      </c>
      <c r="E42" t="s">
        <v>209</v>
      </c>
      <c r="F42" t="s">
        <v>13</v>
      </c>
      <c r="G42" t="s">
        <v>56</v>
      </c>
      <c r="H42" t="s">
        <v>10</v>
      </c>
      <c r="I42" t="s">
        <v>11</v>
      </c>
      <c r="J42" t="s">
        <v>12</v>
      </c>
      <c r="K42" t="s">
        <v>292</v>
      </c>
    </row>
    <row r="43" spans="1:11" hidden="1" x14ac:dyDescent="0.2">
      <c r="A43">
        <v>117</v>
      </c>
      <c r="B43" t="str">
        <f>A43&amp;G43</f>
        <v>117Oficina</v>
      </c>
      <c r="C43" s="5">
        <v>45910</v>
      </c>
      <c r="D43" t="s">
        <v>20</v>
      </c>
      <c r="E43" t="s">
        <v>254</v>
      </c>
      <c r="F43" t="s">
        <v>179</v>
      </c>
      <c r="G43" t="s">
        <v>180</v>
      </c>
      <c r="H43" t="s">
        <v>10</v>
      </c>
      <c r="I43" t="s">
        <v>203</v>
      </c>
      <c r="J43" t="s">
        <v>181</v>
      </c>
      <c r="K43" t="s">
        <v>293</v>
      </c>
    </row>
    <row r="44" spans="1:11" x14ac:dyDescent="0.2">
      <c r="A44">
        <v>118</v>
      </c>
      <c r="B44" t="str">
        <f>A44&amp;G44</f>
        <v>118[Gestión Hídrica El Soldado] Sector -300 Gateway</v>
      </c>
      <c r="C44" s="5">
        <v>45910</v>
      </c>
      <c r="D44" t="s">
        <v>7</v>
      </c>
      <c r="E44" t="s">
        <v>209</v>
      </c>
      <c r="F44" t="s">
        <v>13</v>
      </c>
      <c r="G44" t="s">
        <v>38</v>
      </c>
      <c r="H44" t="s">
        <v>10</v>
      </c>
      <c r="I44" t="s">
        <v>11</v>
      </c>
      <c r="J44" t="s">
        <v>12</v>
      </c>
      <c r="K44" t="s">
        <v>294</v>
      </c>
    </row>
    <row r="45" spans="1:11" x14ac:dyDescent="0.2">
      <c r="A45">
        <v>118</v>
      </c>
      <c r="B45" t="str">
        <f>A45&amp;G45</f>
        <v>118[Gestión Hídrica El Soldado] Pozo El Melón N° 01 (PEM-01) Nodo</v>
      </c>
      <c r="C45" s="5">
        <v>45910</v>
      </c>
      <c r="D45" t="s">
        <v>7</v>
      </c>
      <c r="E45" t="s">
        <v>209</v>
      </c>
      <c r="F45" t="s">
        <v>13</v>
      </c>
      <c r="G45" t="s">
        <v>178</v>
      </c>
      <c r="H45" t="s">
        <v>10</v>
      </c>
      <c r="I45" t="s">
        <v>11</v>
      </c>
      <c r="J45" t="s">
        <v>12</v>
      </c>
      <c r="K45" t="s">
        <v>295</v>
      </c>
    </row>
    <row r="46" spans="1:11" hidden="1" x14ac:dyDescent="0.2">
      <c r="A46">
        <v>119</v>
      </c>
      <c r="B46" t="str">
        <f>A46&amp;G46</f>
        <v>119[Gestión Hídrica El Soldado] Pozo N° 3B (P3B) Nodo B4</v>
      </c>
      <c r="C46" s="5">
        <v>45910</v>
      </c>
      <c r="D46" t="s">
        <v>34</v>
      </c>
      <c r="E46" t="s">
        <v>209</v>
      </c>
      <c r="F46" t="s">
        <v>13</v>
      </c>
      <c r="G46" t="s">
        <v>176</v>
      </c>
      <c r="H46" t="s">
        <v>10</v>
      </c>
      <c r="I46" t="s">
        <v>15</v>
      </c>
      <c r="J46" t="s">
        <v>177</v>
      </c>
      <c r="K46" t="s">
        <v>296</v>
      </c>
    </row>
    <row r="47" spans="1:11" x14ac:dyDescent="0.2">
      <c r="A47">
        <v>123</v>
      </c>
      <c r="B47" t="str">
        <f>A47&amp;G47</f>
        <v>123[Gestión Hídrica El Soldado] Pozo N° 3B (P3B) Nodo B4</v>
      </c>
      <c r="C47" s="5">
        <v>45912</v>
      </c>
      <c r="D47" t="s">
        <v>7</v>
      </c>
      <c r="E47" t="s">
        <v>209</v>
      </c>
      <c r="F47" t="s">
        <v>13</v>
      </c>
      <c r="G47" t="s">
        <v>176</v>
      </c>
      <c r="H47" t="s">
        <v>10</v>
      </c>
      <c r="I47" t="s">
        <v>11</v>
      </c>
      <c r="J47" t="s">
        <v>12</v>
      </c>
      <c r="K47" t="s">
        <v>297</v>
      </c>
    </row>
    <row r="48" spans="1:11" hidden="1" x14ac:dyDescent="0.2">
      <c r="A48">
        <v>123</v>
      </c>
      <c r="B48" t="str">
        <f>A48&amp;G48</f>
        <v>123[Gestión Hídrica El Soldado] Pozo Los Litres N° 05 (PLL-05)</v>
      </c>
      <c r="C48" s="5">
        <v>45912</v>
      </c>
      <c r="D48" t="s">
        <v>7</v>
      </c>
      <c r="E48" t="s">
        <v>209</v>
      </c>
      <c r="F48" t="s">
        <v>13</v>
      </c>
      <c r="G48" t="s">
        <v>56</v>
      </c>
      <c r="H48" t="s">
        <v>10</v>
      </c>
      <c r="I48" t="s">
        <v>15</v>
      </c>
      <c r="J48" t="s">
        <v>12</v>
      </c>
      <c r="K48" t="s">
        <v>298</v>
      </c>
    </row>
    <row r="49" spans="1:11" x14ac:dyDescent="0.2">
      <c r="A49">
        <v>123</v>
      </c>
      <c r="B49" t="str">
        <f>A49&amp;G49</f>
        <v>123[Gestión Hídrica El Soldado] Dren de Cap de Inflil (AO-1) Gateway B</v>
      </c>
      <c r="C49" s="5">
        <v>45912</v>
      </c>
      <c r="D49" t="s">
        <v>7</v>
      </c>
      <c r="E49" t="s">
        <v>209</v>
      </c>
      <c r="F49" t="s">
        <v>13</v>
      </c>
      <c r="G49" t="s">
        <v>158</v>
      </c>
      <c r="H49" t="s">
        <v>10</v>
      </c>
      <c r="I49" t="s">
        <v>11</v>
      </c>
      <c r="J49" t="s">
        <v>12</v>
      </c>
      <c r="K49" t="s">
        <v>299</v>
      </c>
    </row>
    <row r="50" spans="1:11" x14ac:dyDescent="0.2">
      <c r="A50">
        <v>126</v>
      </c>
      <c r="B50" t="str">
        <f>A50&amp;G50</f>
        <v>126[Gestión Hídrica El Soldado] Dren de Cap de Inflil (AO-1) Gateway B</v>
      </c>
      <c r="C50" s="5">
        <v>45913</v>
      </c>
      <c r="D50" t="s">
        <v>7</v>
      </c>
      <c r="E50" t="s">
        <v>209</v>
      </c>
      <c r="F50" t="s">
        <v>13</v>
      </c>
      <c r="G50" t="s">
        <v>158</v>
      </c>
      <c r="H50" t="s">
        <v>10</v>
      </c>
      <c r="I50" t="s">
        <v>11</v>
      </c>
      <c r="J50" t="s">
        <v>12</v>
      </c>
      <c r="K50" t="s">
        <v>300</v>
      </c>
    </row>
    <row r="51" spans="1:11" hidden="1" x14ac:dyDescent="0.2">
      <c r="A51">
        <v>130</v>
      </c>
      <c r="B51" t="str">
        <f>A51&amp;G51</f>
        <v>130[Viñas de Chicureo] Estanque</v>
      </c>
      <c r="C51" s="5">
        <v>45916</v>
      </c>
      <c r="D51" t="s">
        <v>107</v>
      </c>
      <c r="E51" t="s">
        <v>171</v>
      </c>
      <c r="F51" t="s">
        <v>171</v>
      </c>
      <c r="G51" t="s">
        <v>172</v>
      </c>
      <c r="H51" t="s">
        <v>10</v>
      </c>
      <c r="I51" t="s">
        <v>25</v>
      </c>
      <c r="J51" t="s">
        <v>173</v>
      </c>
      <c r="K51" t="s">
        <v>301</v>
      </c>
    </row>
    <row r="52" spans="1:11" hidden="1" x14ac:dyDescent="0.2">
      <c r="A52">
        <v>130</v>
      </c>
      <c r="B52" t="str">
        <f>A52&amp;G52</f>
        <v>130[Viñas de Chicureo] Pozo 1</v>
      </c>
      <c r="C52" s="5">
        <v>45916</v>
      </c>
      <c r="D52" t="s">
        <v>107</v>
      </c>
      <c r="E52" t="s">
        <v>171</v>
      </c>
      <c r="F52" t="s">
        <v>171</v>
      </c>
      <c r="G52" t="s">
        <v>174</v>
      </c>
      <c r="H52" t="s">
        <v>10</v>
      </c>
      <c r="I52" t="s">
        <v>25</v>
      </c>
      <c r="J52" t="s">
        <v>173</v>
      </c>
      <c r="K52" t="s">
        <v>302</v>
      </c>
    </row>
    <row r="53" spans="1:11" hidden="1" x14ac:dyDescent="0.2">
      <c r="A53">
        <v>132</v>
      </c>
      <c r="B53" t="str">
        <f>A53&amp;G53</f>
        <v>132[Estadio Español] Estanques B.Elev</v>
      </c>
      <c r="C53" s="5">
        <v>45916</v>
      </c>
      <c r="D53" t="s">
        <v>167</v>
      </c>
      <c r="E53" t="s">
        <v>260</v>
      </c>
      <c r="F53" t="s">
        <v>168</v>
      </c>
      <c r="G53" t="s">
        <v>169</v>
      </c>
      <c r="H53" t="s">
        <v>10</v>
      </c>
      <c r="I53" t="s">
        <v>25</v>
      </c>
      <c r="J53" t="s">
        <v>170</v>
      </c>
      <c r="K53" t="s">
        <v>303</v>
      </c>
    </row>
    <row r="54" spans="1:11" hidden="1" x14ac:dyDescent="0.2">
      <c r="A54">
        <v>143</v>
      </c>
      <c r="B54" t="str">
        <f>A54&amp;G54</f>
        <v>143[Brisaguas - La Cruz] Pozo 7</v>
      </c>
      <c r="C54" s="5">
        <v>45923</v>
      </c>
      <c r="D54" t="s">
        <v>107</v>
      </c>
      <c r="E54" t="s">
        <v>261</v>
      </c>
      <c r="F54" t="s">
        <v>164</v>
      </c>
      <c r="G54" t="s">
        <v>165</v>
      </c>
      <c r="H54" t="s">
        <v>10</v>
      </c>
      <c r="I54" t="s">
        <v>25</v>
      </c>
      <c r="J54" t="s">
        <v>166</v>
      </c>
      <c r="K54" t="s">
        <v>304</v>
      </c>
    </row>
    <row r="55" spans="1:11" hidden="1" x14ac:dyDescent="0.2">
      <c r="A55">
        <v>148</v>
      </c>
      <c r="B55" t="str">
        <f>A55&amp;G55</f>
        <v>148[Gestión Hídrica El Soldado] Sector -300 Gateway</v>
      </c>
      <c r="C55" s="5">
        <v>45924</v>
      </c>
      <c r="D55" t="s">
        <v>7</v>
      </c>
      <c r="E55" t="s">
        <v>209</v>
      </c>
      <c r="F55" t="s">
        <v>13</v>
      </c>
      <c r="G55" t="s">
        <v>38</v>
      </c>
      <c r="H55" t="s">
        <v>10</v>
      </c>
      <c r="I55" t="s">
        <v>15</v>
      </c>
      <c r="K55" t="s">
        <v>305</v>
      </c>
    </row>
    <row r="56" spans="1:11" hidden="1" x14ac:dyDescent="0.2">
      <c r="A56">
        <v>148</v>
      </c>
      <c r="B56" t="str">
        <f>A56&amp;G56</f>
        <v>148[Gestión Hídrica El Soldado] Piscina 3800 desde V.B</v>
      </c>
      <c r="C56" s="5">
        <v>45924</v>
      </c>
      <c r="D56" t="s">
        <v>7</v>
      </c>
      <c r="E56" t="s">
        <v>209</v>
      </c>
      <c r="F56" t="s">
        <v>13</v>
      </c>
      <c r="G56" t="s">
        <v>160</v>
      </c>
      <c r="H56" t="s">
        <v>10</v>
      </c>
      <c r="I56" t="s">
        <v>60</v>
      </c>
      <c r="K56" t="s">
        <v>306</v>
      </c>
    </row>
    <row r="57" spans="1:11" hidden="1" x14ac:dyDescent="0.2">
      <c r="A57">
        <v>148</v>
      </c>
      <c r="B57" t="str">
        <f>A57&amp;G57</f>
        <v>148Reforestacion</v>
      </c>
      <c r="C57" s="5">
        <v>45924</v>
      </c>
      <c r="D57" t="s">
        <v>7</v>
      </c>
      <c r="E57" t="s">
        <v>209</v>
      </c>
      <c r="F57" t="s">
        <v>161</v>
      </c>
      <c r="G57" t="s">
        <v>162</v>
      </c>
      <c r="H57" t="s">
        <v>10</v>
      </c>
      <c r="I57" t="s">
        <v>60</v>
      </c>
      <c r="K57" t="s">
        <v>307</v>
      </c>
    </row>
    <row r="58" spans="1:11" hidden="1" x14ac:dyDescent="0.2">
      <c r="A58">
        <v>148</v>
      </c>
      <c r="B58" t="str">
        <f>A58&amp;G58</f>
        <v>148[Gestión Hídrica El Soldado] Estero El Cobre (ET-0F) Nodo B</v>
      </c>
      <c r="C58" s="5">
        <v>45924</v>
      </c>
      <c r="D58" t="s">
        <v>7</v>
      </c>
      <c r="E58" t="s">
        <v>209</v>
      </c>
      <c r="F58" t="s">
        <v>13</v>
      </c>
      <c r="G58" t="s">
        <v>163</v>
      </c>
      <c r="H58" t="s">
        <v>10</v>
      </c>
      <c r="I58" t="s">
        <v>45</v>
      </c>
      <c r="K58" t="s">
        <v>308</v>
      </c>
    </row>
    <row r="59" spans="1:11" hidden="1" x14ac:dyDescent="0.2">
      <c r="A59">
        <v>148</v>
      </c>
      <c r="B59" t="str">
        <f>A59&amp;G59</f>
        <v>148[Gestión Hídrica El Soldado] PM-2 Nodo B18</v>
      </c>
      <c r="C59" s="5">
        <v>45924</v>
      </c>
      <c r="D59" t="s">
        <v>7</v>
      </c>
      <c r="E59" t="s">
        <v>209</v>
      </c>
      <c r="F59" t="s">
        <v>13</v>
      </c>
      <c r="G59" t="s">
        <v>75</v>
      </c>
      <c r="H59" t="s">
        <v>10</v>
      </c>
      <c r="I59" t="s">
        <v>45</v>
      </c>
      <c r="K59" t="s">
        <v>308</v>
      </c>
    </row>
    <row r="60" spans="1:11" hidden="1" x14ac:dyDescent="0.2">
      <c r="A60">
        <v>148</v>
      </c>
      <c r="B60" t="str">
        <f>A60&amp;G60</f>
        <v>148[Gestión Hídrica El Soldado] Pozo N° 3A (P3A) Nodo B1</v>
      </c>
      <c r="C60" s="5">
        <v>45924</v>
      </c>
      <c r="D60" t="s">
        <v>7</v>
      </c>
      <c r="E60" t="s">
        <v>209</v>
      </c>
      <c r="F60" t="s">
        <v>13</v>
      </c>
      <c r="G60" t="s">
        <v>42</v>
      </c>
      <c r="H60" t="s">
        <v>10</v>
      </c>
      <c r="I60" t="s">
        <v>45</v>
      </c>
      <c r="K60" t="s">
        <v>308</v>
      </c>
    </row>
    <row r="61" spans="1:11" x14ac:dyDescent="0.2">
      <c r="A61">
        <v>153</v>
      </c>
      <c r="B61" t="str">
        <f>A61&amp;G61</f>
        <v>153[Gestión Hídrica El Soldado] Pozo N° 3A (P3A) Nodo B1</v>
      </c>
      <c r="C61" s="5">
        <v>45925</v>
      </c>
      <c r="D61" t="s">
        <v>7</v>
      </c>
      <c r="E61" t="s">
        <v>209</v>
      </c>
      <c r="F61" t="s">
        <v>13</v>
      </c>
      <c r="G61" t="s">
        <v>42</v>
      </c>
      <c r="H61" t="s">
        <v>10</v>
      </c>
      <c r="I61" t="s">
        <v>11</v>
      </c>
      <c r="J61" t="s">
        <v>12</v>
      </c>
      <c r="K61" t="s">
        <v>309</v>
      </c>
    </row>
    <row r="62" spans="1:11" x14ac:dyDescent="0.2">
      <c r="A62">
        <v>153</v>
      </c>
      <c r="B62" t="str">
        <f>A62&amp;G62</f>
        <v>153[Gestión Hídrica El Soldado] Pozo Los Litres N° 01 (PLL-01) Nodo A12</v>
      </c>
      <c r="C62" s="5">
        <v>45925</v>
      </c>
      <c r="D62" t="s">
        <v>7</v>
      </c>
      <c r="E62" t="s">
        <v>209</v>
      </c>
      <c r="F62" t="s">
        <v>13</v>
      </c>
      <c r="G62" t="s">
        <v>51</v>
      </c>
      <c r="H62" t="s">
        <v>10</v>
      </c>
      <c r="I62" t="s">
        <v>11</v>
      </c>
      <c r="J62" t="s">
        <v>12</v>
      </c>
      <c r="K62" t="s">
        <v>310</v>
      </c>
    </row>
    <row r="63" spans="1:11" x14ac:dyDescent="0.2">
      <c r="A63">
        <v>153</v>
      </c>
      <c r="B63" t="str">
        <f>A63&amp;G63</f>
        <v>153[Gestión Hídrica El Soldado] Pozo Los Litres N° 02 (PLL-02) Nodo A13</v>
      </c>
      <c r="C63" s="5">
        <v>45925</v>
      </c>
      <c r="D63" t="s">
        <v>7</v>
      </c>
      <c r="E63" t="s">
        <v>209</v>
      </c>
      <c r="F63" t="s">
        <v>13</v>
      </c>
      <c r="G63" t="s">
        <v>53</v>
      </c>
      <c r="H63" t="s">
        <v>10</v>
      </c>
      <c r="I63" t="s">
        <v>11</v>
      </c>
      <c r="J63" t="s">
        <v>12</v>
      </c>
      <c r="K63" t="s">
        <v>311</v>
      </c>
    </row>
    <row r="64" spans="1:11" x14ac:dyDescent="0.2">
      <c r="A64">
        <v>155</v>
      </c>
      <c r="B64" t="str">
        <f>A64&amp;G64</f>
        <v xml:space="preserve">155Estanque caseta el melon </v>
      </c>
      <c r="C64" s="5">
        <v>45927</v>
      </c>
      <c r="D64" t="s">
        <v>7</v>
      </c>
      <c r="E64" t="s">
        <v>209</v>
      </c>
      <c r="F64" t="s">
        <v>13</v>
      </c>
      <c r="G64" t="s">
        <v>159</v>
      </c>
      <c r="H64" t="s">
        <v>10</v>
      </c>
      <c r="I64" t="s">
        <v>11</v>
      </c>
      <c r="J64" t="s">
        <v>12</v>
      </c>
      <c r="K64" t="s">
        <v>312</v>
      </c>
    </row>
    <row r="65" spans="1:11" x14ac:dyDescent="0.2">
      <c r="A65">
        <v>155</v>
      </c>
      <c r="B65" t="str">
        <f>A65&amp;G65</f>
        <v>155[Gestión Hídrica El Soldado] Dren de Cap de Inflil (AO-1) Gateway B</v>
      </c>
      <c r="C65" s="5">
        <v>45927</v>
      </c>
      <c r="D65" t="s">
        <v>7</v>
      </c>
      <c r="E65" t="s">
        <v>209</v>
      </c>
      <c r="F65" t="s">
        <v>13</v>
      </c>
      <c r="G65" t="s">
        <v>158</v>
      </c>
      <c r="H65" t="s">
        <v>10</v>
      </c>
      <c r="I65" t="s">
        <v>11</v>
      </c>
      <c r="J65" t="s">
        <v>12</v>
      </c>
      <c r="K65" t="s">
        <v>313</v>
      </c>
    </row>
    <row r="66" spans="1:11" x14ac:dyDescent="0.2">
      <c r="A66">
        <v>163</v>
      </c>
      <c r="B66" t="str">
        <f>A66&amp;G66</f>
        <v>163[Gestión Hídrica El Soldado] Sector -300 Gateway</v>
      </c>
      <c r="C66" s="5">
        <v>45930</v>
      </c>
      <c r="D66" t="s">
        <v>7</v>
      </c>
      <c r="E66" t="s">
        <v>209</v>
      </c>
      <c r="F66" t="s">
        <v>13</v>
      </c>
      <c r="G66" t="s">
        <v>38</v>
      </c>
      <c r="H66" t="s">
        <v>10</v>
      </c>
      <c r="I66" t="s">
        <v>11</v>
      </c>
      <c r="J66" t="s">
        <v>12</v>
      </c>
      <c r="K66" t="s">
        <v>314</v>
      </c>
    </row>
    <row r="67" spans="1:11" x14ac:dyDescent="0.2">
      <c r="A67">
        <v>163</v>
      </c>
      <c r="B67" t="str">
        <f>A67&amp;G67</f>
        <v>163[Gestión Hídrica El Soldado] Dren de Cap de Inflil (AO-1) Gateway B</v>
      </c>
      <c r="C67" s="5">
        <v>45930</v>
      </c>
      <c r="D67" t="s">
        <v>7</v>
      </c>
      <c r="E67" t="s">
        <v>209</v>
      </c>
      <c r="F67" t="s">
        <v>13</v>
      </c>
      <c r="G67" t="s">
        <v>158</v>
      </c>
      <c r="H67" t="s">
        <v>10</v>
      </c>
      <c r="I67" t="s">
        <v>11</v>
      </c>
      <c r="J67" t="s">
        <v>12</v>
      </c>
      <c r="K67" t="s">
        <v>315</v>
      </c>
    </row>
    <row r="68" spans="1:11" x14ac:dyDescent="0.2">
      <c r="A68">
        <v>163</v>
      </c>
      <c r="B68" t="str">
        <f>A68&amp;G68</f>
        <v>163[Gestión Hídrica El Soldado] Pozo N° 3A (P3A) Nodo B1</v>
      </c>
      <c r="C68" s="5">
        <v>45930</v>
      </c>
      <c r="D68" t="s">
        <v>7</v>
      </c>
      <c r="E68" t="s">
        <v>209</v>
      </c>
      <c r="F68" t="s">
        <v>13</v>
      </c>
      <c r="G68" t="s">
        <v>42</v>
      </c>
      <c r="H68" t="s">
        <v>10</v>
      </c>
      <c r="I68" t="s">
        <v>11</v>
      </c>
      <c r="J68" t="s">
        <v>12</v>
      </c>
      <c r="K68" t="s">
        <v>316</v>
      </c>
    </row>
    <row r="69" spans="1:11" x14ac:dyDescent="0.2">
      <c r="A69">
        <v>164</v>
      </c>
      <c r="B69" t="str">
        <f>A69&amp;G69</f>
        <v>164[Los Bronces - Riecillos] R3050 Caudalimetro E</v>
      </c>
      <c r="C69" s="5">
        <v>45930</v>
      </c>
      <c r="D69" t="s">
        <v>20</v>
      </c>
      <c r="E69" t="s">
        <v>256</v>
      </c>
      <c r="F69" t="s">
        <v>21</v>
      </c>
      <c r="G69" t="s">
        <v>72</v>
      </c>
      <c r="H69" t="s">
        <v>10</v>
      </c>
      <c r="I69" t="s">
        <v>11</v>
      </c>
      <c r="J69" t="s">
        <v>157</v>
      </c>
      <c r="K69" t="s">
        <v>317</v>
      </c>
    </row>
    <row r="70" spans="1:11" hidden="1" x14ac:dyDescent="0.2">
      <c r="A70">
        <v>166</v>
      </c>
      <c r="B70" t="str">
        <f>A70&amp;G70</f>
        <v>166[Global Tórtolas] Pozo P3GB</v>
      </c>
      <c r="C70" s="5">
        <v>45932</v>
      </c>
      <c r="D70" t="s">
        <v>43</v>
      </c>
      <c r="E70" t="s">
        <v>254</v>
      </c>
      <c r="F70" t="s">
        <v>48</v>
      </c>
      <c r="G70" t="s">
        <v>155</v>
      </c>
      <c r="H70" t="s">
        <v>10</v>
      </c>
      <c r="I70" t="s">
        <v>28</v>
      </c>
      <c r="J70" t="s">
        <v>156</v>
      </c>
      <c r="K70" t="s">
        <v>318</v>
      </c>
    </row>
    <row r="71" spans="1:11" hidden="1" x14ac:dyDescent="0.2">
      <c r="A71">
        <v>168</v>
      </c>
      <c r="B71" t="str">
        <f>A71&amp;G71</f>
        <v>168Cachimba Veta Blanca</v>
      </c>
      <c r="C71" s="5">
        <v>45932</v>
      </c>
      <c r="D71" t="s">
        <v>34</v>
      </c>
      <c r="E71" t="s">
        <v>209</v>
      </c>
      <c r="F71" t="s">
        <v>13</v>
      </c>
      <c r="G71" t="s">
        <v>154</v>
      </c>
      <c r="H71" t="s">
        <v>10</v>
      </c>
      <c r="I71" t="s">
        <v>15</v>
      </c>
      <c r="K71" t="s">
        <v>319</v>
      </c>
    </row>
    <row r="72" spans="1:11" hidden="1" x14ac:dyDescent="0.2">
      <c r="A72">
        <v>172</v>
      </c>
      <c r="B72" t="str">
        <f>A72&amp;G72</f>
        <v>172[Gestión Hídrica El Soldado] Monitoreo Canaletas UG</v>
      </c>
      <c r="C72" s="5">
        <v>45932</v>
      </c>
      <c r="D72" t="s">
        <v>34</v>
      </c>
      <c r="E72" t="s">
        <v>209</v>
      </c>
      <c r="F72" t="s">
        <v>13</v>
      </c>
      <c r="G72" t="s">
        <v>152</v>
      </c>
      <c r="H72" t="s">
        <v>10</v>
      </c>
      <c r="I72" t="s">
        <v>15</v>
      </c>
      <c r="K72" t="s">
        <v>320</v>
      </c>
    </row>
    <row r="73" spans="1:11" hidden="1" x14ac:dyDescent="0.2">
      <c r="A73">
        <v>172</v>
      </c>
      <c r="B73" t="str">
        <f>A73&amp;G73</f>
        <v xml:space="preserve">172Arranque Barrera Hidráulica TRET/Estación Reelevadora. </v>
      </c>
      <c r="C73" s="5">
        <v>45932</v>
      </c>
      <c r="D73" t="s">
        <v>34</v>
      </c>
      <c r="E73" t="s">
        <v>209</v>
      </c>
      <c r="F73" t="s">
        <v>13</v>
      </c>
      <c r="G73" t="s">
        <v>153</v>
      </c>
      <c r="H73" t="s">
        <v>10</v>
      </c>
      <c r="I73" t="s">
        <v>25</v>
      </c>
      <c r="K73" t="s">
        <v>321</v>
      </c>
    </row>
    <row r="74" spans="1:11" hidden="1" x14ac:dyDescent="0.2">
      <c r="A74">
        <v>172</v>
      </c>
      <c r="B74" t="str">
        <f>A74&amp;G74</f>
        <v>172[Gestión Hídrica El Soldado] Sector -300 Gateway</v>
      </c>
      <c r="C74" s="5">
        <v>45932</v>
      </c>
      <c r="D74" t="s">
        <v>34</v>
      </c>
      <c r="E74" t="s">
        <v>209</v>
      </c>
      <c r="F74" t="s">
        <v>13</v>
      </c>
      <c r="G74" t="s">
        <v>38</v>
      </c>
      <c r="H74" t="s">
        <v>10</v>
      </c>
      <c r="I74" t="s">
        <v>15</v>
      </c>
      <c r="K74" t="s">
        <v>322</v>
      </c>
    </row>
    <row r="75" spans="1:11" x14ac:dyDescent="0.2">
      <c r="A75">
        <v>175</v>
      </c>
      <c r="B75" t="str">
        <f>A75&amp;G75</f>
        <v>175Barrera T4</v>
      </c>
      <c r="C75" s="5">
        <v>45933</v>
      </c>
      <c r="D75" t="s">
        <v>7</v>
      </c>
      <c r="E75" t="s">
        <v>209</v>
      </c>
      <c r="F75" t="s">
        <v>13</v>
      </c>
      <c r="G75" t="s">
        <v>151</v>
      </c>
      <c r="H75" t="s">
        <v>10</v>
      </c>
      <c r="I75" t="s">
        <v>11</v>
      </c>
      <c r="J75" t="s">
        <v>12</v>
      </c>
      <c r="K75" t="s">
        <v>323</v>
      </c>
    </row>
    <row r="76" spans="1:11" x14ac:dyDescent="0.2">
      <c r="A76">
        <v>175</v>
      </c>
      <c r="B76" t="str">
        <f>A76&amp;G76</f>
        <v>175[Gestión Hídrica El Soldado] Pozo Inyección Barrera Hidráulica PI20</v>
      </c>
      <c r="C76" s="5">
        <v>45933</v>
      </c>
      <c r="D76" t="s">
        <v>7</v>
      </c>
      <c r="E76" t="s">
        <v>209</v>
      </c>
      <c r="F76" t="s">
        <v>13</v>
      </c>
      <c r="G76" t="s">
        <v>67</v>
      </c>
      <c r="H76" t="s">
        <v>10</v>
      </c>
      <c r="I76" t="s">
        <v>11</v>
      </c>
      <c r="J76" t="s">
        <v>12</v>
      </c>
      <c r="K76" t="s">
        <v>324</v>
      </c>
    </row>
    <row r="77" spans="1:11" x14ac:dyDescent="0.2">
      <c r="A77">
        <v>175</v>
      </c>
      <c r="B77" t="str">
        <f>A77&amp;G77</f>
        <v>175[Gestión Hídrica El Soldado] Pozo El Melón N° 06 (PEM-06) Nodo</v>
      </c>
      <c r="C77" s="5">
        <v>45933</v>
      </c>
      <c r="D77" t="s">
        <v>7</v>
      </c>
      <c r="E77" t="s">
        <v>209</v>
      </c>
      <c r="F77" t="s">
        <v>13</v>
      </c>
      <c r="G77" t="s">
        <v>149</v>
      </c>
      <c r="H77" t="s">
        <v>10</v>
      </c>
      <c r="I77" t="s">
        <v>11</v>
      </c>
      <c r="J77" t="s">
        <v>12</v>
      </c>
      <c r="K77" t="s">
        <v>325</v>
      </c>
    </row>
    <row r="78" spans="1:11" x14ac:dyDescent="0.2">
      <c r="A78">
        <v>175</v>
      </c>
      <c r="B78" t="str">
        <f>A78&amp;G78</f>
        <v>175[Gestión Hídrica El Soldado] Pozo El Melón N° 10 (PEM-10) Nodo A16</v>
      </c>
      <c r="C78" s="5">
        <v>45933</v>
      </c>
      <c r="D78" t="s">
        <v>7</v>
      </c>
      <c r="E78" t="s">
        <v>209</v>
      </c>
      <c r="F78" t="s">
        <v>13</v>
      </c>
      <c r="G78" t="s">
        <v>70</v>
      </c>
      <c r="H78" t="s">
        <v>10</v>
      </c>
      <c r="I78" t="s">
        <v>11</v>
      </c>
      <c r="J78" t="s">
        <v>12</v>
      </c>
      <c r="K78" t="s">
        <v>325</v>
      </c>
    </row>
    <row r="79" spans="1:11" hidden="1" x14ac:dyDescent="0.2">
      <c r="A79">
        <v>176</v>
      </c>
      <c r="B79" t="str">
        <f>A79&amp;G79</f>
        <v>176[Gestión Hídrica El Soldado] Pozo El Melón N° 06 (PEM-06) Nodo</v>
      </c>
      <c r="C79" s="5">
        <v>45937</v>
      </c>
      <c r="D79" t="s">
        <v>20</v>
      </c>
      <c r="E79" t="s">
        <v>209</v>
      </c>
      <c r="F79" t="s">
        <v>13</v>
      </c>
      <c r="G79" t="s">
        <v>149</v>
      </c>
      <c r="H79" t="s">
        <v>10</v>
      </c>
      <c r="I79" t="s">
        <v>60</v>
      </c>
      <c r="J79" t="s">
        <v>150</v>
      </c>
      <c r="K79" t="s">
        <v>326</v>
      </c>
    </row>
    <row r="80" spans="1:11" hidden="1" x14ac:dyDescent="0.2">
      <c r="A80">
        <v>176</v>
      </c>
      <c r="B80" t="str">
        <f>A80&amp;G80</f>
        <v>176[Gestión Hídrica El Soldado] Pozo El Melón N° 10 (PEM-10) Nodo A16</v>
      </c>
      <c r="C80" s="5">
        <v>45937</v>
      </c>
      <c r="D80" t="s">
        <v>20</v>
      </c>
      <c r="E80" t="s">
        <v>209</v>
      </c>
      <c r="F80" t="s">
        <v>13</v>
      </c>
      <c r="G80" t="s">
        <v>70</v>
      </c>
      <c r="H80" t="s">
        <v>10</v>
      </c>
      <c r="I80" t="s">
        <v>25</v>
      </c>
      <c r="J80" t="s">
        <v>150</v>
      </c>
      <c r="K80" t="s">
        <v>327</v>
      </c>
    </row>
    <row r="81" spans="1:11" hidden="1" x14ac:dyDescent="0.2">
      <c r="A81">
        <v>176</v>
      </c>
      <c r="B81" t="str">
        <f>A81&amp;G81</f>
        <v>176[Gestión Hídrica El Soldado] Sector -300 Gateway</v>
      </c>
      <c r="C81" s="5">
        <v>45937</v>
      </c>
      <c r="D81" t="s">
        <v>20</v>
      </c>
      <c r="E81" t="s">
        <v>209</v>
      </c>
      <c r="F81" t="s">
        <v>13</v>
      </c>
      <c r="G81" t="s">
        <v>38</v>
      </c>
      <c r="H81" t="s">
        <v>10</v>
      </c>
      <c r="I81" t="s">
        <v>60</v>
      </c>
      <c r="J81" t="s">
        <v>150</v>
      </c>
      <c r="K81" t="s">
        <v>328</v>
      </c>
    </row>
    <row r="82" spans="1:11" hidden="1" x14ac:dyDescent="0.2">
      <c r="A82">
        <v>179</v>
      </c>
      <c r="B82" t="str">
        <f>A82&amp;G82</f>
        <v>179[SSR Comité Manzanar] Lora Estanque Manzanar</v>
      </c>
      <c r="C82" s="5">
        <v>45937</v>
      </c>
      <c r="D82" t="s">
        <v>107</v>
      </c>
      <c r="E82" t="s">
        <v>146</v>
      </c>
      <c r="F82" t="s">
        <v>146</v>
      </c>
      <c r="G82" t="s">
        <v>147</v>
      </c>
      <c r="H82" t="s">
        <v>10</v>
      </c>
      <c r="I82" t="s">
        <v>25</v>
      </c>
      <c r="J82" t="s">
        <v>148</v>
      </c>
      <c r="K82" t="s">
        <v>329</v>
      </c>
    </row>
    <row r="83" spans="1:11" hidden="1" x14ac:dyDescent="0.2">
      <c r="A83">
        <v>180</v>
      </c>
      <c r="B83" t="str">
        <f>A83&amp;G83</f>
        <v>180[APR Parcelación El Melón RP1] Pozo 1 y 2 y Estanques Azul y Acumulación</v>
      </c>
      <c r="C83" s="5">
        <v>45937</v>
      </c>
      <c r="D83" t="s">
        <v>107</v>
      </c>
      <c r="E83" t="s">
        <v>258</v>
      </c>
      <c r="F83" t="s">
        <v>143</v>
      </c>
      <c r="G83" t="s">
        <v>144</v>
      </c>
      <c r="H83" t="s">
        <v>10</v>
      </c>
      <c r="I83" t="s">
        <v>15</v>
      </c>
      <c r="J83" t="s">
        <v>145</v>
      </c>
      <c r="K83" t="s">
        <v>330</v>
      </c>
    </row>
    <row r="84" spans="1:11" hidden="1" x14ac:dyDescent="0.2">
      <c r="A84">
        <v>182</v>
      </c>
      <c r="B84" t="str">
        <f>A84&amp;G84</f>
        <v>182[Global Tórtolas] Pozo PBM4</v>
      </c>
      <c r="C84" s="5">
        <v>45937</v>
      </c>
      <c r="D84" t="s">
        <v>47</v>
      </c>
      <c r="E84" t="s">
        <v>254</v>
      </c>
      <c r="F84" t="s">
        <v>48</v>
      </c>
      <c r="G84" t="s">
        <v>131</v>
      </c>
      <c r="H84" t="s">
        <v>10</v>
      </c>
      <c r="I84" t="s">
        <v>45</v>
      </c>
      <c r="J84" t="s">
        <v>142</v>
      </c>
      <c r="K84" t="s">
        <v>331</v>
      </c>
    </row>
    <row r="85" spans="1:11" hidden="1" x14ac:dyDescent="0.2">
      <c r="A85">
        <v>183</v>
      </c>
      <c r="B85" t="str">
        <f>A85&amp;G85</f>
        <v>183[Lipigas PSR Quillayes] PSR Quillayes</v>
      </c>
      <c r="C85" s="5">
        <v>45938</v>
      </c>
      <c r="D85" t="s">
        <v>107</v>
      </c>
      <c r="E85" t="s">
        <v>255</v>
      </c>
      <c r="F85" t="s">
        <v>139</v>
      </c>
      <c r="G85" t="s">
        <v>140</v>
      </c>
      <c r="H85" t="s">
        <v>10</v>
      </c>
      <c r="I85" t="s">
        <v>25</v>
      </c>
      <c r="J85" t="s">
        <v>141</v>
      </c>
      <c r="K85" t="s">
        <v>332</v>
      </c>
    </row>
    <row r="86" spans="1:11" hidden="1" x14ac:dyDescent="0.2">
      <c r="A86">
        <v>187</v>
      </c>
      <c r="B86" t="str">
        <f>A86&amp;G86</f>
        <v>187[Gestión Hídrica El Soldado] Pozo Inyección Barrera Hidráulica T4</v>
      </c>
      <c r="C86" s="5">
        <v>45939</v>
      </c>
      <c r="D86" t="s">
        <v>34</v>
      </c>
      <c r="E86" t="s">
        <v>209</v>
      </c>
      <c r="F86" t="s">
        <v>13</v>
      </c>
      <c r="G86" t="s">
        <v>92</v>
      </c>
      <c r="H86" t="s">
        <v>10</v>
      </c>
      <c r="I86" t="s">
        <v>15</v>
      </c>
      <c r="J86" t="s">
        <v>138</v>
      </c>
      <c r="K86" t="s">
        <v>333</v>
      </c>
    </row>
    <row r="87" spans="1:11" hidden="1" x14ac:dyDescent="0.2">
      <c r="A87">
        <v>187</v>
      </c>
      <c r="B87" t="str">
        <f>A87&amp;G87</f>
        <v>187[Gestión Hídrica El Soldado] Sector -300 Gateway</v>
      </c>
      <c r="C87" s="5">
        <v>45939</v>
      </c>
      <c r="D87" t="s">
        <v>34</v>
      </c>
      <c r="E87" t="s">
        <v>209</v>
      </c>
      <c r="F87" t="s">
        <v>13</v>
      </c>
      <c r="G87" t="s">
        <v>38</v>
      </c>
      <c r="H87" t="s">
        <v>10</v>
      </c>
      <c r="I87" t="s">
        <v>28</v>
      </c>
      <c r="J87" t="s">
        <v>138</v>
      </c>
      <c r="K87" t="s">
        <v>334</v>
      </c>
    </row>
    <row r="88" spans="1:11" hidden="1" x14ac:dyDescent="0.2">
      <c r="A88">
        <v>187</v>
      </c>
      <c r="B88" t="str">
        <f>A88&amp;G88</f>
        <v>187[Gestión Hídrica El Soldado] PM-28C Nodo</v>
      </c>
      <c r="C88" s="5">
        <v>45939</v>
      </c>
      <c r="D88" t="s">
        <v>34</v>
      </c>
      <c r="E88" t="s">
        <v>209</v>
      </c>
      <c r="F88" t="s">
        <v>13</v>
      </c>
      <c r="G88" t="s">
        <v>30</v>
      </c>
      <c r="H88" t="s">
        <v>10</v>
      </c>
      <c r="I88" t="s">
        <v>15</v>
      </c>
      <c r="J88" t="s">
        <v>138</v>
      </c>
      <c r="K88" t="s">
        <v>335</v>
      </c>
    </row>
    <row r="89" spans="1:11" hidden="1" x14ac:dyDescent="0.2">
      <c r="A89">
        <v>187</v>
      </c>
      <c r="B89" t="str">
        <f>A89&amp;G89</f>
        <v>187[Gestión Hídrica El Soldado] PM-30 Nodo</v>
      </c>
      <c r="C89" s="5">
        <v>45939</v>
      </c>
      <c r="D89" t="s">
        <v>34</v>
      </c>
      <c r="E89" t="s">
        <v>209</v>
      </c>
      <c r="F89" t="s">
        <v>13</v>
      </c>
      <c r="G89" t="s">
        <v>29</v>
      </c>
      <c r="H89" t="s">
        <v>10</v>
      </c>
      <c r="I89" t="s">
        <v>15</v>
      </c>
      <c r="J89" t="s">
        <v>138</v>
      </c>
      <c r="K89" t="s">
        <v>335</v>
      </c>
    </row>
    <row r="90" spans="1:11" hidden="1" x14ac:dyDescent="0.2">
      <c r="A90">
        <v>190</v>
      </c>
      <c r="B90" t="str">
        <f>A90&amp;G90</f>
        <v>190[Gestión Hídrica El Soldado] PM-6 Nodo 158</v>
      </c>
      <c r="C90" s="5">
        <v>45939</v>
      </c>
      <c r="D90" t="s">
        <v>20</v>
      </c>
      <c r="E90" t="s">
        <v>209</v>
      </c>
      <c r="F90" t="s">
        <v>13</v>
      </c>
      <c r="G90" t="s">
        <v>18</v>
      </c>
      <c r="H90" t="s">
        <v>10</v>
      </c>
      <c r="I90" t="s">
        <v>60</v>
      </c>
      <c r="J90" t="s">
        <v>137</v>
      </c>
      <c r="K90" t="s">
        <v>336</v>
      </c>
    </row>
    <row r="91" spans="1:11" hidden="1" x14ac:dyDescent="0.2">
      <c r="A91">
        <v>191</v>
      </c>
      <c r="B91" t="str">
        <f>A91&amp;G91</f>
        <v>191[Global Tórtolas] Pozo PBM4</v>
      </c>
      <c r="C91" s="5">
        <v>45940</v>
      </c>
      <c r="D91" t="s">
        <v>47</v>
      </c>
      <c r="E91" t="s">
        <v>254</v>
      </c>
      <c r="F91" t="s">
        <v>48</v>
      </c>
      <c r="G91" t="s">
        <v>131</v>
      </c>
      <c r="H91" t="s">
        <v>10</v>
      </c>
      <c r="I91" t="s">
        <v>25</v>
      </c>
      <c r="J91" t="s">
        <v>133</v>
      </c>
      <c r="K91" t="s">
        <v>337</v>
      </c>
    </row>
    <row r="92" spans="1:11" hidden="1" x14ac:dyDescent="0.2">
      <c r="A92">
        <v>191</v>
      </c>
      <c r="B92" t="str">
        <f>A92&amp;G92</f>
        <v>191[Global Tórtolas] Pozo P2G</v>
      </c>
      <c r="C92" s="5">
        <v>45940</v>
      </c>
      <c r="D92" t="s">
        <v>47</v>
      </c>
      <c r="E92" t="s">
        <v>254</v>
      </c>
      <c r="F92" t="s">
        <v>48</v>
      </c>
      <c r="G92" t="s">
        <v>134</v>
      </c>
      <c r="H92" t="s">
        <v>10</v>
      </c>
      <c r="I92" t="s">
        <v>25</v>
      </c>
      <c r="J92" t="s">
        <v>133</v>
      </c>
      <c r="K92" t="s">
        <v>338</v>
      </c>
    </row>
    <row r="93" spans="1:11" hidden="1" x14ac:dyDescent="0.2">
      <c r="A93">
        <v>191</v>
      </c>
      <c r="B93" t="str">
        <f>A93&amp;G93</f>
        <v>191[Global Tórtolas] Pozo P3G</v>
      </c>
      <c r="C93" s="5">
        <v>45940</v>
      </c>
      <c r="D93" t="s">
        <v>47</v>
      </c>
      <c r="E93" t="s">
        <v>254</v>
      </c>
      <c r="F93" t="s">
        <v>48</v>
      </c>
      <c r="G93" t="s">
        <v>135</v>
      </c>
      <c r="H93" t="s">
        <v>10</v>
      </c>
      <c r="I93" t="s">
        <v>25</v>
      </c>
      <c r="J93" t="s">
        <v>133</v>
      </c>
      <c r="K93" t="s">
        <v>339</v>
      </c>
    </row>
    <row r="94" spans="1:11" hidden="1" x14ac:dyDescent="0.2">
      <c r="A94">
        <v>191</v>
      </c>
      <c r="B94" t="str">
        <f>A94&amp;G94</f>
        <v>191[Global Tórtolas] Pozo PBM1</v>
      </c>
      <c r="C94" s="5">
        <v>45940</v>
      </c>
      <c r="D94" t="s">
        <v>47</v>
      </c>
      <c r="E94" t="s">
        <v>254</v>
      </c>
      <c r="F94" t="s">
        <v>48</v>
      </c>
      <c r="G94" t="s">
        <v>136</v>
      </c>
      <c r="H94" t="s">
        <v>10</v>
      </c>
      <c r="I94" t="s">
        <v>25</v>
      </c>
      <c r="J94" t="s">
        <v>133</v>
      </c>
      <c r="K94" t="s">
        <v>339</v>
      </c>
    </row>
    <row r="95" spans="1:11" hidden="1" x14ac:dyDescent="0.2">
      <c r="A95">
        <v>192</v>
      </c>
      <c r="B95" t="str">
        <f>A95&amp;G95</f>
        <v>192[Gestión Hídrica El Soldado] Pozo Los Litres N° 01 (PLL-01) Nodo A12</v>
      </c>
      <c r="C95" s="5">
        <v>45941</v>
      </c>
      <c r="D95" t="s">
        <v>34</v>
      </c>
      <c r="E95" t="s">
        <v>209</v>
      </c>
      <c r="F95" t="s">
        <v>13</v>
      </c>
      <c r="G95" t="s">
        <v>51</v>
      </c>
      <c r="H95" t="s">
        <v>10</v>
      </c>
      <c r="I95" t="s">
        <v>15</v>
      </c>
      <c r="J95" t="s">
        <v>111</v>
      </c>
      <c r="K95" t="s">
        <v>340</v>
      </c>
    </row>
    <row r="96" spans="1:11" hidden="1" x14ac:dyDescent="0.2">
      <c r="A96">
        <v>194</v>
      </c>
      <c r="B96" t="str">
        <f>A96&amp;G96</f>
        <v>194[Global Tórtolas] Pozo PBM4</v>
      </c>
      <c r="C96" s="5">
        <v>45943</v>
      </c>
      <c r="D96" t="s">
        <v>118</v>
      </c>
      <c r="E96" t="s">
        <v>254</v>
      </c>
      <c r="F96" t="s">
        <v>48</v>
      </c>
      <c r="G96" t="s">
        <v>131</v>
      </c>
      <c r="H96" t="s">
        <v>10</v>
      </c>
      <c r="I96" t="s">
        <v>15</v>
      </c>
      <c r="J96" t="s">
        <v>132</v>
      </c>
      <c r="K96" t="s">
        <v>341</v>
      </c>
    </row>
    <row r="97" spans="1:11" hidden="1" x14ac:dyDescent="0.2">
      <c r="A97">
        <v>196</v>
      </c>
      <c r="B97" t="str">
        <f>A97&amp;G97</f>
        <v>196[Global Tórtolas] Pozo PMO 05</v>
      </c>
      <c r="C97" s="5">
        <v>45944</v>
      </c>
      <c r="D97" t="s">
        <v>118</v>
      </c>
      <c r="E97" t="s">
        <v>254</v>
      </c>
      <c r="F97" t="s">
        <v>48</v>
      </c>
      <c r="G97" t="s">
        <v>124</v>
      </c>
      <c r="H97" t="s">
        <v>10</v>
      </c>
      <c r="I97" t="s">
        <v>203</v>
      </c>
      <c r="J97" t="s">
        <v>125</v>
      </c>
      <c r="K97" t="s">
        <v>342</v>
      </c>
    </row>
    <row r="98" spans="1:11" hidden="1" x14ac:dyDescent="0.2">
      <c r="A98">
        <v>196</v>
      </c>
      <c r="B98" t="str">
        <f>A98&amp;G98</f>
        <v>196PMO-15c</v>
      </c>
      <c r="C98" s="5">
        <v>45944</v>
      </c>
      <c r="D98" t="s">
        <v>118</v>
      </c>
      <c r="E98" t="s">
        <v>254</v>
      </c>
      <c r="F98" t="s">
        <v>126</v>
      </c>
      <c r="G98" t="s">
        <v>127</v>
      </c>
      <c r="H98" t="s">
        <v>10</v>
      </c>
      <c r="I98" t="s">
        <v>203</v>
      </c>
      <c r="J98" t="s">
        <v>125</v>
      </c>
      <c r="K98" t="s">
        <v>343</v>
      </c>
    </row>
    <row r="99" spans="1:11" hidden="1" x14ac:dyDescent="0.2">
      <c r="A99">
        <v>196</v>
      </c>
      <c r="B99" t="str">
        <f>A99&amp;G99</f>
        <v>196PME-09</v>
      </c>
      <c r="C99" s="5">
        <v>45944</v>
      </c>
      <c r="D99" t="s">
        <v>118</v>
      </c>
      <c r="E99" t="s">
        <v>254</v>
      </c>
      <c r="F99" t="s">
        <v>128</v>
      </c>
      <c r="G99" t="s">
        <v>129</v>
      </c>
      <c r="H99" t="s">
        <v>10</v>
      </c>
      <c r="I99" t="s">
        <v>45</v>
      </c>
      <c r="J99" t="s">
        <v>125</v>
      </c>
      <c r="K99" t="s">
        <v>344</v>
      </c>
    </row>
    <row r="100" spans="1:11" hidden="1" x14ac:dyDescent="0.2">
      <c r="A100">
        <v>196</v>
      </c>
      <c r="B100" t="str">
        <f>A100&amp;G100</f>
        <v>196PME-08</v>
      </c>
      <c r="C100" s="5">
        <v>45944</v>
      </c>
      <c r="D100" t="s">
        <v>118</v>
      </c>
      <c r="E100" t="s">
        <v>254</v>
      </c>
      <c r="F100" t="s">
        <v>119</v>
      </c>
      <c r="G100" t="s">
        <v>130</v>
      </c>
      <c r="H100" t="s">
        <v>10</v>
      </c>
      <c r="I100" t="s">
        <v>45</v>
      </c>
      <c r="J100" t="s">
        <v>125</v>
      </c>
      <c r="K100" t="s">
        <v>344</v>
      </c>
    </row>
    <row r="101" spans="1:11" hidden="1" x14ac:dyDescent="0.2">
      <c r="A101">
        <v>199</v>
      </c>
      <c r="B101" t="str">
        <f>A101&amp;G101</f>
        <v>199[Gestión Hídrica El Soldado] Pozo El Melón N° 10 (PEM-10) Nodo A16</v>
      </c>
      <c r="C101" s="5">
        <v>45945</v>
      </c>
      <c r="D101" t="s">
        <v>34</v>
      </c>
      <c r="E101" t="s">
        <v>209</v>
      </c>
      <c r="F101" t="s">
        <v>13</v>
      </c>
      <c r="G101" t="s">
        <v>70</v>
      </c>
      <c r="H101" t="s">
        <v>10</v>
      </c>
      <c r="I101" t="s">
        <v>28</v>
      </c>
      <c r="J101" t="s">
        <v>123</v>
      </c>
      <c r="K101" t="s">
        <v>345</v>
      </c>
    </row>
    <row r="102" spans="1:11" hidden="1" x14ac:dyDescent="0.2">
      <c r="A102">
        <v>202</v>
      </c>
      <c r="B102" t="str">
        <f>A102&amp;G102</f>
        <v>202Bodega ASAP</v>
      </c>
      <c r="C102" s="5">
        <v>45945</v>
      </c>
      <c r="D102" t="s">
        <v>118</v>
      </c>
      <c r="E102" t="s">
        <v>254</v>
      </c>
      <c r="F102" t="s">
        <v>119</v>
      </c>
      <c r="G102" t="s">
        <v>120</v>
      </c>
      <c r="H102" t="s">
        <v>10</v>
      </c>
      <c r="I102" t="s">
        <v>15</v>
      </c>
      <c r="J102" t="s">
        <v>121</v>
      </c>
      <c r="K102" t="s">
        <v>346</v>
      </c>
    </row>
    <row r="103" spans="1:11" hidden="1" x14ac:dyDescent="0.2">
      <c r="A103">
        <v>205</v>
      </c>
      <c r="B103" t="str">
        <f>A103&amp;G103</f>
        <v>205[El Soldado Cachimba Relevadoras] Cachimba Relevadoras</v>
      </c>
      <c r="C103" s="5">
        <v>45946</v>
      </c>
      <c r="D103" t="s">
        <v>34</v>
      </c>
      <c r="E103" t="s">
        <v>209</v>
      </c>
      <c r="F103" t="s">
        <v>115</v>
      </c>
      <c r="G103" t="s">
        <v>116</v>
      </c>
      <c r="H103" t="s">
        <v>10</v>
      </c>
      <c r="I103" t="s">
        <v>15</v>
      </c>
      <c r="J103" t="s">
        <v>117</v>
      </c>
      <c r="K103" t="s">
        <v>347</v>
      </c>
    </row>
    <row r="104" spans="1:11" hidden="1" x14ac:dyDescent="0.2">
      <c r="A104">
        <v>206</v>
      </c>
      <c r="B104" t="str">
        <f>A104&amp;G104</f>
        <v>206Sala de control GNL</v>
      </c>
      <c r="C104" s="5">
        <v>45946</v>
      </c>
      <c r="D104" t="s">
        <v>107</v>
      </c>
      <c r="E104" t="s">
        <v>255</v>
      </c>
      <c r="F104" t="s">
        <v>112</v>
      </c>
      <c r="G104" t="s">
        <v>113</v>
      </c>
      <c r="H104" t="s">
        <v>10</v>
      </c>
      <c r="I104" t="s">
        <v>25</v>
      </c>
      <c r="J104" t="s">
        <v>114</v>
      </c>
      <c r="K104" t="s">
        <v>348</v>
      </c>
    </row>
    <row r="105" spans="1:11" hidden="1" x14ac:dyDescent="0.2">
      <c r="A105">
        <v>213</v>
      </c>
      <c r="B105" t="str">
        <f>A105&amp;G105</f>
        <v>213x</v>
      </c>
      <c r="C105" s="5">
        <v>45947</v>
      </c>
      <c r="D105" t="s">
        <v>34</v>
      </c>
      <c r="E105" t="s">
        <v>209</v>
      </c>
      <c r="F105" t="s">
        <v>13</v>
      </c>
      <c r="G105" t="s">
        <v>250</v>
      </c>
      <c r="H105" t="s">
        <v>10</v>
      </c>
      <c r="I105" t="s">
        <v>203</v>
      </c>
      <c r="J105" t="s">
        <v>111</v>
      </c>
      <c r="K105" t="s">
        <v>349</v>
      </c>
    </row>
    <row r="106" spans="1:11" hidden="1" x14ac:dyDescent="0.2">
      <c r="A106">
        <v>214</v>
      </c>
      <c r="B106" t="str">
        <f>A106&amp;G106</f>
        <v>214[Lipigas PSR Danone (Chillán)] PSR Danone (Chillán)</v>
      </c>
      <c r="C106" s="5">
        <v>45947</v>
      </c>
      <c r="D106" t="s">
        <v>107</v>
      </c>
      <c r="E106" t="s">
        <v>255</v>
      </c>
      <c r="F106" t="s">
        <v>108</v>
      </c>
      <c r="G106" t="s">
        <v>109</v>
      </c>
      <c r="H106" t="s">
        <v>10</v>
      </c>
      <c r="I106" t="s">
        <v>28</v>
      </c>
      <c r="J106" t="s">
        <v>110</v>
      </c>
      <c r="K106" t="s">
        <v>350</v>
      </c>
    </row>
    <row r="107" spans="1:11" x14ac:dyDescent="0.2">
      <c r="A107">
        <v>217</v>
      </c>
      <c r="B107" t="str">
        <f>A107&amp;G107</f>
        <v>217[Gestión Hídrica El Soldado] Pozo Inyección Barrera Hidráulica PI20</v>
      </c>
      <c r="C107" s="5">
        <v>45951</v>
      </c>
      <c r="D107" t="s">
        <v>7</v>
      </c>
      <c r="E107" t="s">
        <v>209</v>
      </c>
      <c r="F107" t="s">
        <v>13</v>
      </c>
      <c r="G107" t="s">
        <v>67</v>
      </c>
      <c r="H107" t="s">
        <v>10</v>
      </c>
      <c r="I107" t="s">
        <v>11</v>
      </c>
      <c r="J107" t="s">
        <v>12</v>
      </c>
      <c r="K107" t="s">
        <v>351</v>
      </c>
    </row>
    <row r="108" spans="1:11" x14ac:dyDescent="0.2">
      <c r="A108">
        <v>217</v>
      </c>
      <c r="B108" t="str">
        <f>A108&amp;G108</f>
        <v>217[Gestión Hídrica El Soldado] Pozo Inyección Barrera Hidráulica PI19</v>
      </c>
      <c r="C108" s="5">
        <v>45951</v>
      </c>
      <c r="D108" t="s">
        <v>7</v>
      </c>
      <c r="E108" t="s">
        <v>209</v>
      </c>
      <c r="F108" t="s">
        <v>13</v>
      </c>
      <c r="G108" t="s">
        <v>105</v>
      </c>
      <c r="H108" t="s">
        <v>10</v>
      </c>
      <c r="I108" t="s">
        <v>11</v>
      </c>
      <c r="J108" t="s">
        <v>12</v>
      </c>
      <c r="K108" t="s">
        <v>352</v>
      </c>
    </row>
    <row r="109" spans="1:11" x14ac:dyDescent="0.2">
      <c r="A109">
        <v>217</v>
      </c>
      <c r="B109" t="str">
        <f>A109&amp;G109</f>
        <v>217[Gestión Hídrica El Soldado] Pozo Inyección Barrera Hidráulica PI18</v>
      </c>
      <c r="C109" s="5">
        <v>45951</v>
      </c>
      <c r="D109" t="s">
        <v>7</v>
      </c>
      <c r="E109" t="s">
        <v>209</v>
      </c>
      <c r="F109" t="s">
        <v>13</v>
      </c>
      <c r="G109" t="s">
        <v>106</v>
      </c>
      <c r="H109" t="s">
        <v>10</v>
      </c>
      <c r="I109" t="s">
        <v>11</v>
      </c>
      <c r="J109" t="s">
        <v>12</v>
      </c>
      <c r="K109" t="s">
        <v>352</v>
      </c>
    </row>
    <row r="110" spans="1:11" x14ac:dyDescent="0.2">
      <c r="A110">
        <v>217</v>
      </c>
      <c r="B110" t="str">
        <f>A110&amp;G110</f>
        <v>217[Gestión Hídrica El Soldado] Pozo Inyección Barrera Hidráulica PI17</v>
      </c>
      <c r="C110" s="5">
        <v>45951</v>
      </c>
      <c r="D110" t="s">
        <v>7</v>
      </c>
      <c r="E110" t="s">
        <v>209</v>
      </c>
      <c r="F110" t="s">
        <v>13</v>
      </c>
      <c r="G110" t="s">
        <v>66</v>
      </c>
      <c r="H110" t="s">
        <v>10</v>
      </c>
      <c r="I110" t="s">
        <v>11</v>
      </c>
      <c r="J110" t="s">
        <v>12</v>
      </c>
      <c r="K110" t="s">
        <v>353</v>
      </c>
    </row>
    <row r="111" spans="1:11" x14ac:dyDescent="0.2">
      <c r="A111">
        <v>217</v>
      </c>
      <c r="B111" t="str">
        <f>A111&amp;G111</f>
        <v>217[Gestión Hídrica El Soldado] PM-3 Nodo B19</v>
      </c>
      <c r="C111" s="5">
        <v>45951</v>
      </c>
      <c r="D111" t="s">
        <v>7</v>
      </c>
      <c r="E111" t="s">
        <v>209</v>
      </c>
      <c r="F111" t="s">
        <v>13</v>
      </c>
      <c r="G111" t="s">
        <v>62</v>
      </c>
      <c r="H111" t="s">
        <v>10</v>
      </c>
      <c r="I111" t="s">
        <v>11</v>
      </c>
      <c r="J111" t="s">
        <v>12</v>
      </c>
      <c r="K111" t="s">
        <v>354</v>
      </c>
    </row>
    <row r="112" spans="1:11" x14ac:dyDescent="0.2">
      <c r="A112">
        <v>217</v>
      </c>
      <c r="B112" t="str">
        <f>A112&amp;G112</f>
        <v>217[Gestión Hídrica El Soldado] Pozo El Melón N° 10 (PEM-10) Nodo A16</v>
      </c>
      <c r="C112" s="5">
        <v>45951</v>
      </c>
      <c r="D112" t="s">
        <v>7</v>
      </c>
      <c r="E112" t="s">
        <v>209</v>
      </c>
      <c r="F112" t="s">
        <v>13</v>
      </c>
      <c r="G112" t="s">
        <v>70</v>
      </c>
      <c r="H112" t="s">
        <v>10</v>
      </c>
      <c r="I112" t="s">
        <v>11</v>
      </c>
      <c r="J112" t="s">
        <v>12</v>
      </c>
      <c r="K112" t="s">
        <v>355</v>
      </c>
    </row>
    <row r="113" spans="1:11" x14ac:dyDescent="0.2">
      <c r="A113">
        <v>219</v>
      </c>
      <c r="B113" t="str">
        <f>A113&amp;G113</f>
        <v>219[Gestión Hídrica El Soldado] Tranque 4</v>
      </c>
      <c r="C113" s="5">
        <v>45952</v>
      </c>
      <c r="D113" t="s">
        <v>7</v>
      </c>
      <c r="E113" t="s">
        <v>209</v>
      </c>
      <c r="F113" t="s">
        <v>13</v>
      </c>
      <c r="G113" t="s">
        <v>104</v>
      </c>
      <c r="H113" t="s">
        <v>10</v>
      </c>
      <c r="I113" t="s">
        <v>11</v>
      </c>
      <c r="J113" t="s">
        <v>12</v>
      </c>
      <c r="K113" t="s">
        <v>356</v>
      </c>
    </row>
    <row r="114" spans="1:11" x14ac:dyDescent="0.2">
      <c r="A114">
        <v>219</v>
      </c>
      <c r="B114" t="str">
        <f>A114&amp;G114</f>
        <v xml:space="preserve">219Bodega de recursos hidricos </v>
      </c>
      <c r="C114" s="5">
        <v>45952</v>
      </c>
      <c r="D114" t="s">
        <v>7</v>
      </c>
      <c r="E114" t="s">
        <v>209</v>
      </c>
      <c r="F114" t="s">
        <v>13</v>
      </c>
      <c r="G114" t="s">
        <v>89</v>
      </c>
      <c r="H114" t="s">
        <v>10</v>
      </c>
      <c r="I114" t="s">
        <v>11</v>
      </c>
      <c r="J114" t="s">
        <v>12</v>
      </c>
      <c r="K114" t="s">
        <v>357</v>
      </c>
    </row>
    <row r="115" spans="1:11" x14ac:dyDescent="0.2">
      <c r="A115">
        <v>219</v>
      </c>
      <c r="B115" t="str">
        <f>A115&amp;G115</f>
        <v>219[Gestión Hídrica El Soldado] PM-07 Gateway</v>
      </c>
      <c r="C115" s="5">
        <v>45952</v>
      </c>
      <c r="D115" t="s">
        <v>7</v>
      </c>
      <c r="E115" t="s">
        <v>209</v>
      </c>
      <c r="F115" t="s">
        <v>13</v>
      </c>
      <c r="G115" t="s">
        <v>32</v>
      </c>
      <c r="H115" t="s">
        <v>10</v>
      </c>
      <c r="I115" t="s">
        <v>11</v>
      </c>
      <c r="J115" t="s">
        <v>12</v>
      </c>
      <c r="K115" t="s">
        <v>358</v>
      </c>
    </row>
    <row r="116" spans="1:11" x14ac:dyDescent="0.2">
      <c r="A116">
        <v>219</v>
      </c>
      <c r="B116" t="str">
        <f>A116&amp;G116</f>
        <v>219[Gestión Hídrica El Soldado] Pozo El Melón N° 10 (PEM-10) Nodo A16</v>
      </c>
      <c r="C116" s="5">
        <v>45952</v>
      </c>
      <c r="D116" t="s">
        <v>7</v>
      </c>
      <c r="E116" t="s">
        <v>209</v>
      </c>
      <c r="F116" t="s">
        <v>13</v>
      </c>
      <c r="G116" t="s">
        <v>70</v>
      </c>
      <c r="H116" t="s">
        <v>10</v>
      </c>
      <c r="I116" t="s">
        <v>11</v>
      </c>
      <c r="J116" t="s">
        <v>12</v>
      </c>
      <c r="K116" t="s">
        <v>359</v>
      </c>
    </row>
    <row r="117" spans="1:11" x14ac:dyDescent="0.2">
      <c r="A117">
        <v>223</v>
      </c>
      <c r="B117" t="str">
        <f>A117&amp;G117</f>
        <v>223Piscina 4000</v>
      </c>
      <c r="C117" s="5">
        <v>45953</v>
      </c>
      <c r="D117" t="s">
        <v>7</v>
      </c>
      <c r="E117" t="s">
        <v>209</v>
      </c>
      <c r="F117" t="s">
        <v>13</v>
      </c>
      <c r="G117" t="s">
        <v>100</v>
      </c>
      <c r="H117" t="s">
        <v>10</v>
      </c>
      <c r="I117" t="s">
        <v>11</v>
      </c>
      <c r="J117" t="s">
        <v>12</v>
      </c>
      <c r="K117" t="s">
        <v>360</v>
      </c>
    </row>
    <row r="118" spans="1:11" x14ac:dyDescent="0.2">
      <c r="A118">
        <v>223</v>
      </c>
      <c r="B118" t="str">
        <f>A118&amp;G118</f>
        <v>223Válvulas túnel UG</v>
      </c>
      <c r="C118" s="5">
        <v>45953</v>
      </c>
      <c r="D118" t="s">
        <v>7</v>
      </c>
      <c r="E118" t="s">
        <v>209</v>
      </c>
      <c r="F118" t="s">
        <v>13</v>
      </c>
      <c r="G118" t="s">
        <v>101</v>
      </c>
      <c r="H118" t="s">
        <v>10</v>
      </c>
      <c r="I118" t="s">
        <v>11</v>
      </c>
      <c r="J118" t="s">
        <v>12</v>
      </c>
      <c r="K118" t="s">
        <v>361</v>
      </c>
    </row>
    <row r="119" spans="1:11" x14ac:dyDescent="0.2">
      <c r="A119">
        <v>223</v>
      </c>
      <c r="B119" t="str">
        <f>A119&amp;G119</f>
        <v>223[Gestión Hídrica El Soldado] Caudalimetro Portal de Arenas</v>
      </c>
      <c r="C119" s="5">
        <v>45953</v>
      </c>
      <c r="D119" t="s">
        <v>7</v>
      </c>
      <c r="E119" t="s">
        <v>209</v>
      </c>
      <c r="F119" t="s">
        <v>13</v>
      </c>
      <c r="G119" t="s">
        <v>102</v>
      </c>
      <c r="H119" t="s">
        <v>10</v>
      </c>
      <c r="I119" t="s">
        <v>11</v>
      </c>
      <c r="J119" t="s">
        <v>12</v>
      </c>
      <c r="K119" t="s">
        <v>362</v>
      </c>
    </row>
    <row r="120" spans="1:11" x14ac:dyDescent="0.2">
      <c r="A120">
        <v>223</v>
      </c>
      <c r="B120" t="str">
        <f>A120&amp;G120</f>
        <v xml:space="preserve">223Pozos PM exterior </v>
      </c>
      <c r="C120" s="5">
        <v>45953</v>
      </c>
      <c r="D120" t="s">
        <v>7</v>
      </c>
      <c r="E120" t="s">
        <v>209</v>
      </c>
      <c r="F120" t="s">
        <v>13</v>
      </c>
      <c r="G120" t="s">
        <v>103</v>
      </c>
      <c r="H120" t="s">
        <v>10</v>
      </c>
      <c r="I120" t="s">
        <v>11</v>
      </c>
      <c r="J120" t="s">
        <v>12</v>
      </c>
      <c r="K120" t="s">
        <v>363</v>
      </c>
    </row>
    <row r="121" spans="1:11" hidden="1" x14ac:dyDescent="0.2">
      <c r="A121">
        <v>231</v>
      </c>
      <c r="B121" t="str">
        <f>A121&amp;G121</f>
        <v>231[Los Bronces - Riecillos] R2700 Gateway</v>
      </c>
      <c r="C121" s="5">
        <v>45957</v>
      </c>
      <c r="D121" t="s">
        <v>43</v>
      </c>
      <c r="E121" t="s">
        <v>256</v>
      </c>
      <c r="F121" t="s">
        <v>21</v>
      </c>
      <c r="G121" t="s">
        <v>44</v>
      </c>
      <c r="H121" t="s">
        <v>10</v>
      </c>
      <c r="I121" t="s">
        <v>25</v>
      </c>
      <c r="J121" t="s">
        <v>99</v>
      </c>
      <c r="K121" t="s">
        <v>364</v>
      </c>
    </row>
    <row r="122" spans="1:11" x14ac:dyDescent="0.2">
      <c r="A122">
        <v>233</v>
      </c>
      <c r="B122" t="str">
        <f>A122&amp;G122</f>
        <v>233[Gestión Hídrica El Soldado] Lora Piscina 3800</v>
      </c>
      <c r="C122" s="5">
        <v>45957</v>
      </c>
      <c r="D122" t="s">
        <v>7</v>
      </c>
      <c r="E122" t="s">
        <v>209</v>
      </c>
      <c r="F122" t="s">
        <v>13</v>
      </c>
      <c r="G122" t="s">
        <v>40</v>
      </c>
      <c r="H122" t="s">
        <v>10</v>
      </c>
      <c r="I122" t="s">
        <v>11</v>
      </c>
      <c r="J122" t="s">
        <v>12</v>
      </c>
      <c r="K122" t="s">
        <v>365</v>
      </c>
    </row>
    <row r="123" spans="1:11" x14ac:dyDescent="0.2">
      <c r="A123">
        <v>233</v>
      </c>
      <c r="B123" t="str">
        <f>A123&amp;G123</f>
        <v>233Caudalimetro no invasivo entrada 3800</v>
      </c>
      <c r="C123" s="5">
        <v>45957</v>
      </c>
      <c r="D123" t="s">
        <v>7</v>
      </c>
      <c r="E123" t="s">
        <v>209</v>
      </c>
      <c r="F123" t="s">
        <v>13</v>
      </c>
      <c r="G123" t="s">
        <v>96</v>
      </c>
      <c r="H123" t="s">
        <v>10</v>
      </c>
      <c r="I123" t="s">
        <v>11</v>
      </c>
      <c r="J123" t="s">
        <v>12</v>
      </c>
      <c r="K123" t="s">
        <v>366</v>
      </c>
    </row>
    <row r="124" spans="1:11" x14ac:dyDescent="0.2">
      <c r="A124">
        <v>233</v>
      </c>
      <c r="B124" t="str">
        <f>A124&amp;G124</f>
        <v xml:space="preserve">233Piscina 3800 a TK convencional </v>
      </c>
      <c r="C124" s="5">
        <v>45957</v>
      </c>
      <c r="D124" t="s">
        <v>7</v>
      </c>
      <c r="E124" t="s">
        <v>209</v>
      </c>
      <c r="F124" t="s">
        <v>13</v>
      </c>
      <c r="G124" t="s">
        <v>97</v>
      </c>
      <c r="H124" t="s">
        <v>10</v>
      </c>
      <c r="I124" t="s">
        <v>11</v>
      </c>
      <c r="J124" t="s">
        <v>12</v>
      </c>
      <c r="K124" t="s">
        <v>366</v>
      </c>
    </row>
    <row r="125" spans="1:11" x14ac:dyDescent="0.2">
      <c r="A125">
        <v>233</v>
      </c>
      <c r="B125" t="str">
        <f>A125&amp;G125</f>
        <v>233Piscina 3800 a RELE</v>
      </c>
      <c r="C125" s="5">
        <v>45957</v>
      </c>
      <c r="D125" t="s">
        <v>7</v>
      </c>
      <c r="E125" t="s">
        <v>209</v>
      </c>
      <c r="F125" t="s">
        <v>13</v>
      </c>
      <c r="G125" t="s">
        <v>98</v>
      </c>
      <c r="H125" t="s">
        <v>10</v>
      </c>
      <c r="I125" t="s">
        <v>11</v>
      </c>
      <c r="J125" t="s">
        <v>12</v>
      </c>
      <c r="K125" t="s">
        <v>366</v>
      </c>
    </row>
    <row r="126" spans="1:11" hidden="1" x14ac:dyDescent="0.2">
      <c r="A126">
        <v>234</v>
      </c>
      <c r="B126" t="str">
        <f>A126&amp;G126</f>
        <v>234[Gestión Hídrica El Soldado] Pozo Los Litres N° 05 (PLL-05)</v>
      </c>
      <c r="C126" s="5">
        <v>45958</v>
      </c>
      <c r="D126" t="s">
        <v>7</v>
      </c>
      <c r="E126" t="s">
        <v>209</v>
      </c>
      <c r="F126" t="s">
        <v>13</v>
      </c>
      <c r="G126" t="s">
        <v>56</v>
      </c>
      <c r="H126" t="s">
        <v>10</v>
      </c>
      <c r="I126" t="s">
        <v>25</v>
      </c>
      <c r="J126" t="s">
        <v>95</v>
      </c>
      <c r="K126" t="s">
        <v>367</v>
      </c>
    </row>
    <row r="127" spans="1:11" hidden="1" x14ac:dyDescent="0.2">
      <c r="A127">
        <v>236</v>
      </c>
      <c r="B127" t="str">
        <f>A127&amp;G127</f>
        <v>236[Los Bronces - Riecillos] R2700 Gateway</v>
      </c>
      <c r="C127" s="5">
        <v>45958</v>
      </c>
      <c r="D127" t="s">
        <v>43</v>
      </c>
      <c r="E127" t="s">
        <v>256</v>
      </c>
      <c r="F127" t="s">
        <v>21</v>
      </c>
      <c r="G127" t="s">
        <v>44</v>
      </c>
      <c r="H127" t="s">
        <v>10</v>
      </c>
      <c r="I127" t="s">
        <v>15</v>
      </c>
      <c r="J127" t="s">
        <v>94</v>
      </c>
      <c r="K127" t="s">
        <v>368</v>
      </c>
    </row>
    <row r="128" spans="1:11" hidden="1" x14ac:dyDescent="0.2">
      <c r="A128">
        <v>236</v>
      </c>
      <c r="B128" t="str">
        <f>A128&amp;G128</f>
        <v>236[Los Bronces - Riecillos] R3050 Gateway</v>
      </c>
      <c r="C128" s="5">
        <v>45958</v>
      </c>
      <c r="D128" t="s">
        <v>43</v>
      </c>
      <c r="E128" t="s">
        <v>256</v>
      </c>
      <c r="F128" t="s">
        <v>21</v>
      </c>
      <c r="G128" t="s">
        <v>24</v>
      </c>
      <c r="H128" t="s">
        <v>10</v>
      </c>
      <c r="I128" t="s">
        <v>15</v>
      </c>
      <c r="J128" t="s">
        <v>94</v>
      </c>
      <c r="K128" t="s">
        <v>369</v>
      </c>
    </row>
    <row r="129" spans="1:11" x14ac:dyDescent="0.2">
      <c r="A129">
        <v>240</v>
      </c>
      <c r="B129" t="str">
        <f>A129&amp;G129</f>
        <v>240[Gestión Hídrica El Soldado] Pozo Inyección Barrera Hidráulica T4</v>
      </c>
      <c r="C129" s="5">
        <v>45960</v>
      </c>
      <c r="D129" t="s">
        <v>34</v>
      </c>
      <c r="E129" t="s">
        <v>209</v>
      </c>
      <c r="F129" t="s">
        <v>13</v>
      </c>
      <c r="G129" t="s">
        <v>92</v>
      </c>
      <c r="H129" t="s">
        <v>10</v>
      </c>
      <c r="I129" t="s">
        <v>11</v>
      </c>
      <c r="J129" t="s">
        <v>93</v>
      </c>
      <c r="K129" t="s">
        <v>370</v>
      </c>
    </row>
    <row r="130" spans="1:11" x14ac:dyDescent="0.2">
      <c r="A130">
        <v>240</v>
      </c>
      <c r="B130" t="str">
        <f>A130&amp;G130</f>
        <v>240[Gestión Hídrica El Soldado] Pozo El Melón N° 09 (PEM-09)</v>
      </c>
      <c r="C130" s="5">
        <v>45960</v>
      </c>
      <c r="D130" t="s">
        <v>34</v>
      </c>
      <c r="E130" t="s">
        <v>209</v>
      </c>
      <c r="F130" t="s">
        <v>13</v>
      </c>
      <c r="G130" t="s">
        <v>71</v>
      </c>
      <c r="H130" t="s">
        <v>10</v>
      </c>
      <c r="I130" t="s">
        <v>11</v>
      </c>
      <c r="J130" t="s">
        <v>93</v>
      </c>
      <c r="K130" t="s">
        <v>371</v>
      </c>
    </row>
    <row r="131" spans="1:11" x14ac:dyDescent="0.2">
      <c r="A131">
        <v>242</v>
      </c>
      <c r="B131" t="str">
        <f>A131&amp;G131</f>
        <v xml:space="preserve">242BH TRET </v>
      </c>
      <c r="C131" s="5">
        <v>45960</v>
      </c>
      <c r="D131" t="s">
        <v>7</v>
      </c>
      <c r="E131" t="s">
        <v>209</v>
      </c>
      <c r="F131" t="s">
        <v>13</v>
      </c>
      <c r="G131" t="s">
        <v>90</v>
      </c>
      <c r="H131" t="s">
        <v>10</v>
      </c>
      <c r="I131" t="s">
        <v>11</v>
      </c>
      <c r="J131" t="s">
        <v>91</v>
      </c>
      <c r="K131" t="s">
        <v>372</v>
      </c>
    </row>
    <row r="132" spans="1:11" x14ac:dyDescent="0.2">
      <c r="A132">
        <v>242</v>
      </c>
      <c r="B132" t="str">
        <f>A132&amp;G132</f>
        <v>242[Gestión Hídrica El Soldado] Pozo El Melón N° 09 (PEM-09)</v>
      </c>
      <c r="C132" s="5">
        <v>45960</v>
      </c>
      <c r="D132" t="s">
        <v>7</v>
      </c>
      <c r="E132" t="s">
        <v>209</v>
      </c>
      <c r="F132" t="s">
        <v>13</v>
      </c>
      <c r="G132" t="s">
        <v>71</v>
      </c>
      <c r="H132" t="s">
        <v>10</v>
      </c>
      <c r="I132" t="s">
        <v>11</v>
      </c>
      <c r="J132" t="s">
        <v>91</v>
      </c>
      <c r="K132" t="s">
        <v>373</v>
      </c>
    </row>
    <row r="133" spans="1:11" x14ac:dyDescent="0.2">
      <c r="A133">
        <v>242</v>
      </c>
      <c r="B133" t="str">
        <f>A133&amp;G133</f>
        <v>242[Gestión Hídrica El Soldado] Pozo Los Litres N° 05 (PLL-05)</v>
      </c>
      <c r="C133" s="5">
        <v>45960</v>
      </c>
      <c r="D133" t="s">
        <v>7</v>
      </c>
      <c r="E133" t="s">
        <v>209</v>
      </c>
      <c r="F133" t="s">
        <v>13</v>
      </c>
      <c r="G133" t="s">
        <v>56</v>
      </c>
      <c r="H133" t="s">
        <v>10</v>
      </c>
      <c r="I133" t="s">
        <v>11</v>
      </c>
      <c r="J133" t="s">
        <v>91</v>
      </c>
      <c r="K133" t="s">
        <v>374</v>
      </c>
    </row>
    <row r="134" spans="1:11" x14ac:dyDescent="0.2">
      <c r="A134">
        <v>242</v>
      </c>
      <c r="B134" t="str">
        <f>A134&amp;G134</f>
        <v>242[Gestión Hídrica El Soldado] Pozo Los Litres N° 01 (PLL-01) Nodo A12</v>
      </c>
      <c r="C134" s="5">
        <v>45960</v>
      </c>
      <c r="D134" t="s">
        <v>7</v>
      </c>
      <c r="E134" t="s">
        <v>209</v>
      </c>
      <c r="F134" t="s">
        <v>13</v>
      </c>
      <c r="G134" t="s">
        <v>51</v>
      </c>
      <c r="H134" t="s">
        <v>10</v>
      </c>
      <c r="I134" t="s">
        <v>11</v>
      </c>
      <c r="J134" t="s">
        <v>91</v>
      </c>
      <c r="K134" t="s">
        <v>375</v>
      </c>
    </row>
    <row r="135" spans="1:11" x14ac:dyDescent="0.2">
      <c r="A135">
        <v>242</v>
      </c>
      <c r="B135" t="str">
        <f>A135&amp;G135</f>
        <v>242[Gestión Hídrica El Soldado] Pozo Los Litres N° 02 (PLL-02) Nodo A13</v>
      </c>
      <c r="C135" s="5">
        <v>45960</v>
      </c>
      <c r="D135" t="s">
        <v>7</v>
      </c>
      <c r="E135" t="s">
        <v>209</v>
      </c>
      <c r="F135" t="s">
        <v>13</v>
      </c>
      <c r="G135" t="s">
        <v>53</v>
      </c>
      <c r="H135" t="s">
        <v>10</v>
      </c>
      <c r="I135" t="s">
        <v>11</v>
      </c>
      <c r="J135" t="s">
        <v>91</v>
      </c>
      <c r="K135" t="s">
        <v>375</v>
      </c>
    </row>
    <row r="136" spans="1:11" x14ac:dyDescent="0.2">
      <c r="A136">
        <v>244</v>
      </c>
      <c r="B136" t="str">
        <f>A136&amp;G136</f>
        <v xml:space="preserve">244Bodega de recursos hidricos </v>
      </c>
      <c r="C136" s="5">
        <v>45965</v>
      </c>
      <c r="D136" t="s">
        <v>7</v>
      </c>
      <c r="E136" t="s">
        <v>209</v>
      </c>
      <c r="F136" t="s">
        <v>88</v>
      </c>
      <c r="G136" t="s">
        <v>89</v>
      </c>
      <c r="H136" t="s">
        <v>10</v>
      </c>
      <c r="I136" t="s">
        <v>11</v>
      </c>
      <c r="J136" t="s">
        <v>86</v>
      </c>
      <c r="K136" t="s">
        <v>376</v>
      </c>
    </row>
    <row r="137" spans="1:11" x14ac:dyDescent="0.2">
      <c r="A137">
        <v>244</v>
      </c>
      <c r="B137" t="str">
        <f>A137&amp;G137</f>
        <v>244[Gestión Hídrica El Soldado] Sector -300 Gateway</v>
      </c>
      <c r="C137" s="5">
        <v>45965</v>
      </c>
      <c r="D137" t="s">
        <v>7</v>
      </c>
      <c r="E137" t="s">
        <v>209</v>
      </c>
      <c r="F137" t="s">
        <v>13</v>
      </c>
      <c r="G137" t="s">
        <v>38</v>
      </c>
      <c r="H137" t="s">
        <v>10</v>
      </c>
      <c r="I137" t="s">
        <v>11</v>
      </c>
      <c r="J137" t="s">
        <v>86</v>
      </c>
      <c r="K137" t="s">
        <v>377</v>
      </c>
    </row>
    <row r="138" spans="1:11" x14ac:dyDescent="0.2">
      <c r="A138">
        <v>246</v>
      </c>
      <c r="B138" t="str">
        <f>A138&amp;G138</f>
        <v xml:space="preserve">246Túnel norte </v>
      </c>
      <c r="C138" s="5">
        <v>45966</v>
      </c>
      <c r="D138" t="s">
        <v>7</v>
      </c>
      <c r="E138" t="s">
        <v>209</v>
      </c>
      <c r="F138" t="s">
        <v>82</v>
      </c>
      <c r="G138" t="s">
        <v>85</v>
      </c>
      <c r="H138" t="s">
        <v>10</v>
      </c>
      <c r="I138" t="s">
        <v>11</v>
      </c>
      <c r="J138" t="s">
        <v>86</v>
      </c>
      <c r="K138" t="s">
        <v>378</v>
      </c>
    </row>
    <row r="139" spans="1:11" x14ac:dyDescent="0.2">
      <c r="A139">
        <v>246</v>
      </c>
      <c r="B139" t="str">
        <f>A139&amp;G139</f>
        <v>246Rebalse piscina UG a estero el gallo</v>
      </c>
      <c r="C139" s="5">
        <v>45966</v>
      </c>
      <c r="D139" t="s">
        <v>7</v>
      </c>
      <c r="E139" t="s">
        <v>209</v>
      </c>
      <c r="F139" t="s">
        <v>13</v>
      </c>
      <c r="G139" t="s">
        <v>87</v>
      </c>
      <c r="H139" t="s">
        <v>10</v>
      </c>
      <c r="I139" t="s">
        <v>11</v>
      </c>
      <c r="J139" t="s">
        <v>86</v>
      </c>
      <c r="K139" t="s">
        <v>379</v>
      </c>
    </row>
    <row r="140" spans="1:11" x14ac:dyDescent="0.2">
      <c r="A140">
        <v>249</v>
      </c>
      <c r="B140" t="str">
        <f>A140&amp;G140</f>
        <v xml:space="preserve">249Rebalse piscina UG-300 hacia estero el gallo </v>
      </c>
      <c r="C140" s="5">
        <v>45967</v>
      </c>
      <c r="D140" t="s">
        <v>7</v>
      </c>
      <c r="E140" t="s">
        <v>209</v>
      </c>
      <c r="F140" t="s">
        <v>82</v>
      </c>
      <c r="G140" t="s">
        <v>83</v>
      </c>
      <c r="H140" t="s">
        <v>10</v>
      </c>
      <c r="I140" t="s">
        <v>11</v>
      </c>
      <c r="J140" t="s">
        <v>84</v>
      </c>
      <c r="K140" t="s">
        <v>380</v>
      </c>
    </row>
    <row r="141" spans="1:11" hidden="1" x14ac:dyDescent="0.2">
      <c r="A141">
        <v>253</v>
      </c>
      <c r="B141" t="str">
        <f>A141&amp;G141</f>
        <v>253Mina UG estero el gallo</v>
      </c>
      <c r="C141" s="5">
        <v>45967</v>
      </c>
      <c r="D141" t="s">
        <v>7</v>
      </c>
      <c r="E141" t="s">
        <v>209</v>
      </c>
      <c r="F141" t="s">
        <v>8</v>
      </c>
      <c r="G141" t="s">
        <v>80</v>
      </c>
      <c r="H141" t="s">
        <v>10</v>
      </c>
      <c r="I141" t="s">
        <v>45</v>
      </c>
      <c r="J141" t="s">
        <v>81</v>
      </c>
      <c r="K141" t="s">
        <v>381</v>
      </c>
    </row>
    <row r="142" spans="1:11" hidden="1" x14ac:dyDescent="0.2">
      <c r="A142">
        <v>253</v>
      </c>
      <c r="B142" t="str">
        <f>A142&amp;G142</f>
        <v>253[Gestión Hídrica El Soldado] Estero El Gallo</v>
      </c>
      <c r="C142" s="5">
        <v>45967</v>
      </c>
      <c r="D142" t="s">
        <v>7</v>
      </c>
      <c r="E142" t="s">
        <v>209</v>
      </c>
      <c r="F142" t="s">
        <v>13</v>
      </c>
      <c r="G142" t="s">
        <v>69</v>
      </c>
      <c r="H142" t="s">
        <v>10</v>
      </c>
      <c r="I142" t="s">
        <v>45</v>
      </c>
      <c r="J142" t="s">
        <v>81</v>
      </c>
      <c r="K142" t="s">
        <v>382</v>
      </c>
    </row>
    <row r="143" spans="1:11" hidden="1" x14ac:dyDescent="0.2">
      <c r="A143">
        <v>254</v>
      </c>
      <c r="B143" t="str">
        <f>A143&amp;G143</f>
        <v>254[Gestión Hídrica El Soldado] Estero El Gallo</v>
      </c>
      <c r="C143" s="5">
        <v>45968</v>
      </c>
      <c r="D143" t="s">
        <v>7</v>
      </c>
      <c r="E143" t="s">
        <v>209</v>
      </c>
      <c r="F143" t="s">
        <v>13</v>
      </c>
      <c r="G143" t="s">
        <v>69</v>
      </c>
      <c r="H143" t="s">
        <v>10</v>
      </c>
      <c r="I143" t="s">
        <v>45</v>
      </c>
      <c r="J143" t="s">
        <v>79</v>
      </c>
      <c r="K143" t="s">
        <v>383</v>
      </c>
    </row>
    <row r="144" spans="1:11" hidden="1" x14ac:dyDescent="0.2">
      <c r="A144">
        <v>255</v>
      </c>
      <c r="B144" t="str">
        <f>A144&amp;G144</f>
        <v>255[Los Bronces - Riecillos] R3050 Caudalimetro E</v>
      </c>
      <c r="C144" s="5">
        <v>45968</v>
      </c>
      <c r="D144" t="s">
        <v>43</v>
      </c>
      <c r="E144" t="s">
        <v>256</v>
      </c>
      <c r="F144" t="s">
        <v>21</v>
      </c>
      <c r="G144" t="s">
        <v>72</v>
      </c>
      <c r="H144" t="s">
        <v>10</v>
      </c>
      <c r="I144" t="s">
        <v>25</v>
      </c>
      <c r="J144" t="s">
        <v>78</v>
      </c>
      <c r="K144" t="s">
        <v>384</v>
      </c>
    </row>
    <row r="145" spans="1:11" hidden="1" x14ac:dyDescent="0.2">
      <c r="A145">
        <v>255</v>
      </c>
      <c r="B145" t="str">
        <f>A145&amp;G145</f>
        <v>255[Los Bronces - Riecillos] R2700 Caudalimetro B</v>
      </c>
      <c r="C145" s="5">
        <v>45968</v>
      </c>
      <c r="D145" t="s">
        <v>43</v>
      </c>
      <c r="E145" t="s">
        <v>256</v>
      </c>
      <c r="F145" t="s">
        <v>21</v>
      </c>
      <c r="G145" t="s">
        <v>22</v>
      </c>
      <c r="H145" t="s">
        <v>10</v>
      </c>
      <c r="I145" t="s">
        <v>25</v>
      </c>
      <c r="J145" t="s">
        <v>78</v>
      </c>
      <c r="K145" t="s">
        <v>385</v>
      </c>
    </row>
    <row r="146" spans="1:11" x14ac:dyDescent="0.2">
      <c r="A146">
        <v>258</v>
      </c>
      <c r="B146" t="str">
        <f>A146&amp;G146</f>
        <v>258[Gestión Hídrica El Soldado] Pozo Los Litres N° 01 (PLL-01) Nodo A12</v>
      </c>
      <c r="C146" s="5">
        <v>45971</v>
      </c>
      <c r="D146" t="s">
        <v>20</v>
      </c>
      <c r="E146" t="s">
        <v>209</v>
      </c>
      <c r="F146" t="s">
        <v>13</v>
      </c>
      <c r="G146" t="s">
        <v>51</v>
      </c>
      <c r="H146" t="s">
        <v>10</v>
      </c>
      <c r="I146" t="s">
        <v>11</v>
      </c>
      <c r="J146" t="s">
        <v>12</v>
      </c>
      <c r="K146" t="s">
        <v>386</v>
      </c>
    </row>
    <row r="147" spans="1:11" hidden="1" x14ac:dyDescent="0.2">
      <c r="A147">
        <v>258</v>
      </c>
      <c r="B147" t="str">
        <f>A147&amp;G147</f>
        <v>258[Gestión Hídrica El Soldado] Sector -300 Gateway</v>
      </c>
      <c r="C147" s="5">
        <v>45971</v>
      </c>
      <c r="D147" t="s">
        <v>20</v>
      </c>
      <c r="E147" t="s">
        <v>209</v>
      </c>
      <c r="F147" t="s">
        <v>13</v>
      </c>
      <c r="G147" t="s">
        <v>38</v>
      </c>
      <c r="H147" t="s">
        <v>10</v>
      </c>
      <c r="I147" t="s">
        <v>15</v>
      </c>
      <c r="J147" t="s">
        <v>12</v>
      </c>
      <c r="K147" t="s">
        <v>387</v>
      </c>
    </row>
    <row r="148" spans="1:11" x14ac:dyDescent="0.2">
      <c r="A148">
        <v>260</v>
      </c>
      <c r="B148" t="str">
        <f>A148&amp;G148</f>
        <v>260[Gestión Hídrica El Soldado] Pozo Los Litres N° 02 (PLL-02) Nodo A13</v>
      </c>
      <c r="C148" s="5">
        <v>45972</v>
      </c>
      <c r="D148" t="s">
        <v>20</v>
      </c>
      <c r="E148" t="s">
        <v>209</v>
      </c>
      <c r="F148" t="s">
        <v>13</v>
      </c>
      <c r="G148" t="s">
        <v>53</v>
      </c>
      <c r="H148" t="s">
        <v>10</v>
      </c>
      <c r="I148" t="s">
        <v>11</v>
      </c>
      <c r="J148" t="s">
        <v>77</v>
      </c>
      <c r="K148" t="s">
        <v>388</v>
      </c>
    </row>
    <row r="149" spans="1:11" hidden="1" x14ac:dyDescent="0.2">
      <c r="A149">
        <v>262</v>
      </c>
      <c r="B149" t="str">
        <f>A149&amp;G149</f>
        <v>262[Gestión Hídrica El Soldado] Estero El Gallo</v>
      </c>
      <c r="C149" s="5">
        <v>45973</v>
      </c>
      <c r="D149" t="s">
        <v>20</v>
      </c>
      <c r="E149" t="s">
        <v>209</v>
      </c>
      <c r="F149" t="s">
        <v>13</v>
      </c>
      <c r="G149" t="s">
        <v>69</v>
      </c>
      <c r="H149" t="s">
        <v>10</v>
      </c>
      <c r="I149" t="s">
        <v>15</v>
      </c>
      <c r="J149" t="s">
        <v>65</v>
      </c>
      <c r="K149" t="s">
        <v>389</v>
      </c>
    </row>
    <row r="150" spans="1:11" hidden="1" x14ac:dyDescent="0.2">
      <c r="A150">
        <v>262</v>
      </c>
      <c r="B150" t="str">
        <f>A150&amp;G150</f>
        <v>262Casino el cobre</v>
      </c>
      <c r="C150" s="5">
        <v>45973</v>
      </c>
      <c r="D150" t="s">
        <v>20</v>
      </c>
      <c r="E150" t="s">
        <v>209</v>
      </c>
      <c r="F150" t="s">
        <v>8</v>
      </c>
      <c r="G150" t="s">
        <v>76</v>
      </c>
      <c r="H150" t="s">
        <v>10</v>
      </c>
      <c r="I150" t="s">
        <v>15</v>
      </c>
      <c r="J150" t="s">
        <v>65</v>
      </c>
      <c r="K150" t="s">
        <v>390</v>
      </c>
    </row>
    <row r="151" spans="1:11" hidden="1" x14ac:dyDescent="0.2">
      <c r="A151">
        <v>266</v>
      </c>
      <c r="B151" t="str">
        <f>A151&amp;G151</f>
        <v>266[Gestión Hídrica El Soldado] Pozo Los Litres N° 01 (PLL-01) Nodo A12</v>
      </c>
      <c r="C151" s="5">
        <v>45974</v>
      </c>
      <c r="D151" t="s">
        <v>20</v>
      </c>
      <c r="E151" t="s">
        <v>209</v>
      </c>
      <c r="F151" t="s">
        <v>13</v>
      </c>
      <c r="G151" t="s">
        <v>51</v>
      </c>
      <c r="H151" t="s">
        <v>10</v>
      </c>
      <c r="I151" t="s">
        <v>28</v>
      </c>
      <c r="J151" t="s">
        <v>65</v>
      </c>
      <c r="K151" t="s">
        <v>391</v>
      </c>
    </row>
    <row r="152" spans="1:11" hidden="1" x14ac:dyDescent="0.2">
      <c r="A152">
        <v>266</v>
      </c>
      <c r="B152" t="str">
        <f>A152&amp;G152</f>
        <v>266[Gestión Hídrica El Soldado] Pozo Los Litres N° 02 (PLL-02) Nodo A13</v>
      </c>
      <c r="C152" s="5">
        <v>45974</v>
      </c>
      <c r="D152" t="s">
        <v>20</v>
      </c>
      <c r="E152" t="s">
        <v>209</v>
      </c>
      <c r="F152" t="s">
        <v>13</v>
      </c>
      <c r="G152" t="s">
        <v>53</v>
      </c>
      <c r="H152" t="s">
        <v>10</v>
      </c>
      <c r="I152" t="s">
        <v>28</v>
      </c>
      <c r="J152" t="s">
        <v>65</v>
      </c>
      <c r="K152" t="s">
        <v>392</v>
      </c>
    </row>
    <row r="153" spans="1:11" hidden="1" x14ac:dyDescent="0.2">
      <c r="A153">
        <v>266</v>
      </c>
      <c r="B153" t="str">
        <f>A153&amp;G153</f>
        <v>266[Gestión Hídrica El Soldado] PM-2 Nodo B18</v>
      </c>
      <c r="C153" s="5">
        <v>45974</v>
      </c>
      <c r="D153" t="s">
        <v>20</v>
      </c>
      <c r="E153" t="s">
        <v>209</v>
      </c>
      <c r="F153" t="s">
        <v>13</v>
      </c>
      <c r="G153" t="s">
        <v>75</v>
      </c>
      <c r="H153" t="s">
        <v>10</v>
      </c>
      <c r="I153" t="s">
        <v>28</v>
      </c>
      <c r="J153" t="s">
        <v>65</v>
      </c>
      <c r="K153" t="s">
        <v>393</v>
      </c>
    </row>
    <row r="154" spans="1:11" hidden="1" x14ac:dyDescent="0.2">
      <c r="A154">
        <v>266</v>
      </c>
      <c r="B154" t="str">
        <f>A154&amp;G154</f>
        <v>266[Gestión Hídrica El Soldado] Estero El Gallo</v>
      </c>
      <c r="C154" s="5">
        <v>45974</v>
      </c>
      <c r="D154" t="s">
        <v>20</v>
      </c>
      <c r="E154" t="s">
        <v>209</v>
      </c>
      <c r="F154" t="s">
        <v>13</v>
      </c>
      <c r="G154" t="s">
        <v>69</v>
      </c>
      <c r="H154" t="s">
        <v>10</v>
      </c>
      <c r="I154" t="s">
        <v>28</v>
      </c>
      <c r="J154" t="s">
        <v>65</v>
      </c>
      <c r="K154" t="s">
        <v>394</v>
      </c>
    </row>
    <row r="155" spans="1:11" hidden="1" x14ac:dyDescent="0.2">
      <c r="A155">
        <v>267</v>
      </c>
      <c r="B155" t="str">
        <f>A155&amp;G155</f>
        <v>267[Los Bronces - Riecillos] R2700 Gateway</v>
      </c>
      <c r="C155" s="5">
        <v>45975</v>
      </c>
      <c r="D155" t="s">
        <v>43</v>
      </c>
      <c r="E155" t="s">
        <v>256</v>
      </c>
      <c r="F155" t="s">
        <v>21</v>
      </c>
      <c r="G155" t="s">
        <v>44</v>
      </c>
      <c r="H155" t="s">
        <v>10</v>
      </c>
      <c r="I155" t="s">
        <v>25</v>
      </c>
      <c r="J155" t="s">
        <v>74</v>
      </c>
      <c r="K155" t="s">
        <v>395</v>
      </c>
    </row>
    <row r="156" spans="1:11" hidden="1" x14ac:dyDescent="0.2">
      <c r="A156">
        <v>267</v>
      </c>
      <c r="B156" t="str">
        <f>A156&amp;G156</f>
        <v>267[Los Bronces - Riecillos] R3050 Gateway</v>
      </c>
      <c r="C156" s="5">
        <v>45975</v>
      </c>
      <c r="D156" t="s">
        <v>43</v>
      </c>
      <c r="E156" t="s">
        <v>256</v>
      </c>
      <c r="F156" t="s">
        <v>21</v>
      </c>
      <c r="G156" t="s">
        <v>24</v>
      </c>
      <c r="H156" t="s">
        <v>10</v>
      </c>
      <c r="I156" t="s">
        <v>28</v>
      </c>
      <c r="J156" t="s">
        <v>74</v>
      </c>
      <c r="K156" t="s">
        <v>396</v>
      </c>
    </row>
    <row r="157" spans="1:11" hidden="1" x14ac:dyDescent="0.2">
      <c r="A157">
        <v>268</v>
      </c>
      <c r="B157" t="str">
        <f>A157&amp;G157</f>
        <v>268[Los Bronces - Riecillos] R3050 Caudalimetro E</v>
      </c>
      <c r="C157" s="5">
        <v>45975</v>
      </c>
      <c r="D157" t="s">
        <v>43</v>
      </c>
      <c r="E157" t="s">
        <v>256</v>
      </c>
      <c r="F157" t="s">
        <v>21</v>
      </c>
      <c r="G157" t="s">
        <v>72</v>
      </c>
      <c r="H157" t="s">
        <v>10</v>
      </c>
      <c r="I157" t="s">
        <v>15</v>
      </c>
      <c r="J157" t="s">
        <v>73</v>
      </c>
      <c r="K157" t="s">
        <v>397</v>
      </c>
    </row>
    <row r="158" spans="1:11" x14ac:dyDescent="0.2">
      <c r="A158">
        <v>272</v>
      </c>
      <c r="B158" t="str">
        <f>A158&amp;G158</f>
        <v>272[Gestión Hídrica El Soldado] Estero El Gallo</v>
      </c>
      <c r="C158" s="5">
        <v>45978</v>
      </c>
      <c r="D158" t="s">
        <v>7</v>
      </c>
      <c r="E158" t="s">
        <v>209</v>
      </c>
      <c r="F158" t="s">
        <v>13</v>
      </c>
      <c r="G158" t="s">
        <v>69</v>
      </c>
      <c r="H158" t="s">
        <v>10</v>
      </c>
      <c r="I158" t="s">
        <v>11</v>
      </c>
      <c r="J158" t="s">
        <v>12</v>
      </c>
      <c r="K158" t="s">
        <v>398</v>
      </c>
    </row>
    <row r="159" spans="1:11" x14ac:dyDescent="0.2">
      <c r="A159">
        <v>272</v>
      </c>
      <c r="B159" t="str">
        <f>A159&amp;G159</f>
        <v>272[Gestión Hídrica El Soldado] Pozo El Melón N° 10 (PEM-10) Nodo A16</v>
      </c>
      <c r="C159" s="5">
        <v>45978</v>
      </c>
      <c r="D159" t="s">
        <v>7</v>
      </c>
      <c r="E159" t="s">
        <v>209</v>
      </c>
      <c r="F159" t="s">
        <v>13</v>
      </c>
      <c r="G159" t="s">
        <v>70</v>
      </c>
      <c r="H159" t="s">
        <v>10</v>
      </c>
      <c r="I159" t="s">
        <v>11</v>
      </c>
      <c r="J159" t="s">
        <v>12</v>
      </c>
      <c r="K159" t="s">
        <v>399</v>
      </c>
    </row>
    <row r="160" spans="1:11" x14ac:dyDescent="0.2">
      <c r="A160">
        <v>272</v>
      </c>
      <c r="B160" t="str">
        <f>A160&amp;G160</f>
        <v>272[Gestión Hídrica El Soldado] Pozo El Melón N° 09 (PEM-09)</v>
      </c>
      <c r="C160" s="5">
        <v>45978</v>
      </c>
      <c r="D160" t="s">
        <v>7</v>
      </c>
      <c r="E160" t="s">
        <v>209</v>
      </c>
      <c r="F160" t="s">
        <v>13</v>
      </c>
      <c r="G160" t="s">
        <v>71</v>
      </c>
      <c r="H160" t="s">
        <v>10</v>
      </c>
      <c r="I160" t="s">
        <v>11</v>
      </c>
      <c r="J160" t="s">
        <v>12</v>
      </c>
      <c r="K160" t="s">
        <v>400</v>
      </c>
    </row>
    <row r="161" spans="1:11" x14ac:dyDescent="0.2">
      <c r="A161">
        <v>272</v>
      </c>
      <c r="B161" t="str">
        <f>A161&amp;G161</f>
        <v>272[Gestión Hídrica El Soldado] Pozo Los Litres N° 01 (PLL-01) Nodo A12</v>
      </c>
      <c r="C161" s="5">
        <v>45978</v>
      </c>
      <c r="D161" t="s">
        <v>7</v>
      </c>
      <c r="E161" t="s">
        <v>209</v>
      </c>
      <c r="F161" t="s">
        <v>13</v>
      </c>
      <c r="G161" t="s">
        <v>51</v>
      </c>
      <c r="H161" t="s">
        <v>10</v>
      </c>
      <c r="I161" t="s">
        <v>11</v>
      </c>
      <c r="J161" t="s">
        <v>12</v>
      </c>
      <c r="K161" t="s">
        <v>401</v>
      </c>
    </row>
    <row r="162" spans="1:11" x14ac:dyDescent="0.2">
      <c r="A162">
        <v>272</v>
      </c>
      <c r="B162" t="str">
        <f>A162&amp;G162</f>
        <v>272[Gestión Hídrica El Soldado] Pozo Los Litres N° 05 (PLL-05)</v>
      </c>
      <c r="C162" s="5">
        <v>45978</v>
      </c>
      <c r="D162" t="s">
        <v>7</v>
      </c>
      <c r="E162" t="s">
        <v>209</v>
      </c>
      <c r="F162" t="s">
        <v>13</v>
      </c>
      <c r="G162" t="s">
        <v>56</v>
      </c>
      <c r="H162" t="s">
        <v>10</v>
      </c>
      <c r="I162" t="s">
        <v>11</v>
      </c>
      <c r="J162" t="s">
        <v>12</v>
      </c>
      <c r="K162" t="s">
        <v>402</v>
      </c>
    </row>
    <row r="163" spans="1:11" x14ac:dyDescent="0.2">
      <c r="A163">
        <v>276</v>
      </c>
      <c r="B163" t="str">
        <f>A163&amp;G163</f>
        <v>276[Gestión Hídrica El Soldado] Pozo Inyección Barrera Hidráulica PI20</v>
      </c>
      <c r="C163" s="5">
        <v>45979</v>
      </c>
      <c r="D163" t="s">
        <v>7</v>
      </c>
      <c r="E163" t="s">
        <v>209</v>
      </c>
      <c r="F163" t="s">
        <v>13</v>
      </c>
      <c r="G163" t="s">
        <v>67</v>
      </c>
      <c r="H163" t="s">
        <v>10</v>
      </c>
      <c r="I163" t="s">
        <v>11</v>
      </c>
      <c r="J163" t="s">
        <v>12</v>
      </c>
      <c r="K163" t="s">
        <v>403</v>
      </c>
    </row>
    <row r="164" spans="1:11" hidden="1" x14ac:dyDescent="0.2">
      <c r="A164">
        <v>278</v>
      </c>
      <c r="B164" t="str">
        <f>A164&amp;G164</f>
        <v>278Descarga el gallo mina UG</v>
      </c>
      <c r="C164" s="5">
        <v>45980</v>
      </c>
      <c r="D164" t="s">
        <v>20</v>
      </c>
      <c r="E164" t="s">
        <v>209</v>
      </c>
      <c r="F164" t="s">
        <v>8</v>
      </c>
      <c r="G164" t="s">
        <v>64</v>
      </c>
      <c r="H164" t="s">
        <v>10</v>
      </c>
      <c r="I164" t="s">
        <v>28</v>
      </c>
      <c r="J164" t="s">
        <v>65</v>
      </c>
      <c r="K164" t="s">
        <v>404</v>
      </c>
    </row>
    <row r="165" spans="1:11" hidden="1" x14ac:dyDescent="0.2">
      <c r="A165">
        <v>278</v>
      </c>
      <c r="B165" t="str">
        <f>A165&amp;G165</f>
        <v>278[Gestión Hídrica El Soldado] Pozo Inyección Barrera Hidráulica PI17</v>
      </c>
      <c r="C165" s="5">
        <v>45980</v>
      </c>
      <c r="D165" t="s">
        <v>20</v>
      </c>
      <c r="E165" t="s">
        <v>209</v>
      </c>
      <c r="F165" t="s">
        <v>13</v>
      </c>
      <c r="G165" t="s">
        <v>66</v>
      </c>
      <c r="H165" t="s">
        <v>10</v>
      </c>
      <c r="I165" t="s">
        <v>28</v>
      </c>
      <c r="J165" t="s">
        <v>65</v>
      </c>
      <c r="K165" t="s">
        <v>405</v>
      </c>
    </row>
    <row r="166" spans="1:11" hidden="1" x14ac:dyDescent="0.2">
      <c r="A166">
        <v>278</v>
      </c>
      <c r="B166" t="str">
        <f>A166&amp;G166</f>
        <v>278[Gestión Hídrica El Soldado] Pozo Inyección Barrera Hidráulica PI20</v>
      </c>
      <c r="C166" s="5">
        <v>45980</v>
      </c>
      <c r="D166" t="s">
        <v>20</v>
      </c>
      <c r="E166" t="s">
        <v>209</v>
      </c>
      <c r="F166" t="s">
        <v>13</v>
      </c>
      <c r="G166" t="s">
        <v>67</v>
      </c>
      <c r="H166" t="s">
        <v>10</v>
      </c>
      <c r="I166" t="s">
        <v>28</v>
      </c>
      <c r="J166" t="s">
        <v>65</v>
      </c>
      <c r="K166" t="s">
        <v>406</v>
      </c>
    </row>
    <row r="167" spans="1:11" hidden="1" x14ac:dyDescent="0.2">
      <c r="A167">
        <v>283</v>
      </c>
      <c r="B167" t="str">
        <f>A167&amp;G167</f>
        <v>283Arranque BH TRET</v>
      </c>
      <c r="C167" s="5">
        <v>45982</v>
      </c>
      <c r="D167" t="s">
        <v>34</v>
      </c>
      <c r="E167" t="s">
        <v>209</v>
      </c>
      <c r="F167" t="s">
        <v>13</v>
      </c>
      <c r="G167" t="s">
        <v>59</v>
      </c>
      <c r="H167" t="s">
        <v>10</v>
      </c>
      <c r="I167" t="s">
        <v>60</v>
      </c>
      <c r="J167" t="s">
        <v>61</v>
      </c>
      <c r="K167" t="s">
        <v>407</v>
      </c>
    </row>
    <row r="168" spans="1:11" hidden="1" x14ac:dyDescent="0.2">
      <c r="A168">
        <v>283</v>
      </c>
      <c r="B168" t="str">
        <f>A168&amp;G168</f>
        <v>283[Gestión Hídrica El Soldado] PM-3 Nodo B19</v>
      </c>
      <c r="C168" s="5">
        <v>45982</v>
      </c>
      <c r="D168" t="s">
        <v>34</v>
      </c>
      <c r="E168" t="s">
        <v>209</v>
      </c>
      <c r="F168" t="s">
        <v>13</v>
      </c>
      <c r="G168" t="s">
        <v>62</v>
      </c>
      <c r="H168" t="s">
        <v>10</v>
      </c>
      <c r="I168" t="s">
        <v>15</v>
      </c>
      <c r="J168" t="s">
        <v>61</v>
      </c>
      <c r="K168" t="s">
        <v>408</v>
      </c>
    </row>
    <row r="169" spans="1:11" hidden="1" x14ac:dyDescent="0.2">
      <c r="A169">
        <v>283</v>
      </c>
      <c r="B169" t="str">
        <f>A169&amp;G169</f>
        <v>283[Gestión Hídrica El Soldado] PM-4 Nodo B20</v>
      </c>
      <c r="C169" s="5">
        <v>45982</v>
      </c>
      <c r="D169" t="s">
        <v>34</v>
      </c>
      <c r="E169" t="s">
        <v>209</v>
      </c>
      <c r="F169" t="s">
        <v>13</v>
      </c>
      <c r="G169" t="s">
        <v>63</v>
      </c>
      <c r="H169" t="s">
        <v>10</v>
      </c>
      <c r="I169" t="s">
        <v>15</v>
      </c>
      <c r="J169" t="s">
        <v>61</v>
      </c>
      <c r="K169" t="s">
        <v>408</v>
      </c>
    </row>
    <row r="170" spans="1:11" hidden="1" x14ac:dyDescent="0.2">
      <c r="A170">
        <v>295</v>
      </c>
      <c r="B170" t="str">
        <f>A170&amp;G170</f>
        <v>295Piscina UG a descarga Estero El Gallo</v>
      </c>
      <c r="C170" s="5">
        <v>45982</v>
      </c>
      <c r="D170" t="s">
        <v>34</v>
      </c>
      <c r="E170" t="s">
        <v>209</v>
      </c>
      <c r="F170" t="s">
        <v>35</v>
      </c>
      <c r="G170" t="s">
        <v>36</v>
      </c>
      <c r="H170" t="s">
        <v>10</v>
      </c>
      <c r="I170" t="s">
        <v>15</v>
      </c>
      <c r="J170" t="s">
        <v>37</v>
      </c>
      <c r="K170" t="s">
        <v>409</v>
      </c>
    </row>
    <row r="171" spans="1:11" hidden="1" x14ac:dyDescent="0.2">
      <c r="A171">
        <v>287</v>
      </c>
      <c r="B171" t="str">
        <f>A171&amp;G171</f>
        <v>287[Los Bronces - Riecillos] R2700 Gateway</v>
      </c>
      <c r="C171" s="5">
        <v>45985</v>
      </c>
      <c r="D171" t="s">
        <v>43</v>
      </c>
      <c r="E171" t="s">
        <v>256</v>
      </c>
      <c r="F171" t="s">
        <v>21</v>
      </c>
      <c r="G171" t="s">
        <v>44</v>
      </c>
      <c r="H171" t="s">
        <v>10</v>
      </c>
      <c r="I171" t="s">
        <v>45</v>
      </c>
      <c r="J171" t="s">
        <v>58</v>
      </c>
      <c r="K171" t="s">
        <v>410</v>
      </c>
    </row>
    <row r="172" spans="1:11" hidden="1" x14ac:dyDescent="0.2">
      <c r="A172">
        <v>289</v>
      </c>
      <c r="B172" t="str">
        <f>A172&amp;G172</f>
        <v>289[Global Tórtolas] Pozo BN3</v>
      </c>
      <c r="C172" s="5">
        <v>45985</v>
      </c>
      <c r="D172" t="s">
        <v>47</v>
      </c>
      <c r="E172" t="s">
        <v>254</v>
      </c>
      <c r="F172" t="s">
        <v>48</v>
      </c>
      <c r="G172" t="s">
        <v>49</v>
      </c>
      <c r="H172" t="s">
        <v>10</v>
      </c>
      <c r="I172" t="s">
        <v>60</v>
      </c>
      <c r="J172" t="s">
        <v>50</v>
      </c>
      <c r="K172" t="s">
        <v>411</v>
      </c>
    </row>
    <row r="173" spans="1:11" hidden="1" x14ac:dyDescent="0.2">
      <c r="A173">
        <v>288</v>
      </c>
      <c r="B173" t="str">
        <f>A173&amp;G173</f>
        <v>288[Gestión Hídrica El Soldado] Pozo Los Litres N° 01 (PLL-01) Nodo A12</v>
      </c>
      <c r="C173" s="5">
        <v>45986</v>
      </c>
      <c r="D173" t="s">
        <v>7</v>
      </c>
      <c r="E173" t="s">
        <v>209</v>
      </c>
      <c r="F173" t="s">
        <v>13</v>
      </c>
      <c r="G173" t="s">
        <v>51</v>
      </c>
      <c r="H173" t="s">
        <v>10</v>
      </c>
      <c r="I173" t="s">
        <v>60</v>
      </c>
      <c r="J173" t="s">
        <v>52</v>
      </c>
      <c r="K173" t="s">
        <v>412</v>
      </c>
    </row>
    <row r="174" spans="1:11" hidden="1" x14ac:dyDescent="0.2">
      <c r="A174">
        <v>288</v>
      </c>
      <c r="B174" t="str">
        <f>A174&amp;G174</f>
        <v>288[Gestión Hídrica El Soldado] Pozo Los Litres N° 02 (PLL-02) Nodo A13</v>
      </c>
      <c r="C174" s="5">
        <v>45986</v>
      </c>
      <c r="D174" t="s">
        <v>7</v>
      </c>
      <c r="E174" t="s">
        <v>209</v>
      </c>
      <c r="F174" t="s">
        <v>13</v>
      </c>
      <c r="G174" t="s">
        <v>53</v>
      </c>
      <c r="H174" t="s">
        <v>10</v>
      </c>
      <c r="I174" t="s">
        <v>60</v>
      </c>
      <c r="J174" t="s">
        <v>52</v>
      </c>
      <c r="K174" t="s">
        <v>413</v>
      </c>
    </row>
    <row r="175" spans="1:11" hidden="1" x14ac:dyDescent="0.2">
      <c r="A175">
        <v>288</v>
      </c>
      <c r="B175" t="str">
        <f>A175&amp;G175</f>
        <v>288[Gestión Hídrica El Soldado] Pozo Los Litres N° 03 (PLL-03) Nodo 168</v>
      </c>
      <c r="C175" s="5">
        <v>45986</v>
      </c>
      <c r="D175" t="s">
        <v>7</v>
      </c>
      <c r="E175" t="s">
        <v>209</v>
      </c>
      <c r="F175" t="s">
        <v>13</v>
      </c>
      <c r="G175" t="s">
        <v>54</v>
      </c>
      <c r="H175" t="s">
        <v>10</v>
      </c>
      <c r="I175" t="s">
        <v>60</v>
      </c>
      <c r="J175" t="s">
        <v>52</v>
      </c>
      <c r="K175" t="s">
        <v>414</v>
      </c>
    </row>
    <row r="176" spans="1:11" hidden="1" x14ac:dyDescent="0.2">
      <c r="A176">
        <v>288</v>
      </c>
      <c r="B176" t="str">
        <f>A176&amp;G176</f>
        <v>288[Gestión Hídrica El Soldado] Pozo Los Litres N° 04 (PLL-04) Nodo 169</v>
      </c>
      <c r="C176" s="5">
        <v>45986</v>
      </c>
      <c r="D176" t="s">
        <v>7</v>
      </c>
      <c r="E176" t="s">
        <v>209</v>
      </c>
      <c r="F176" t="s">
        <v>13</v>
      </c>
      <c r="G176" t="s">
        <v>55</v>
      </c>
      <c r="H176" t="s">
        <v>10</v>
      </c>
      <c r="I176" t="s">
        <v>60</v>
      </c>
      <c r="J176" t="s">
        <v>52</v>
      </c>
      <c r="K176" t="s">
        <v>415</v>
      </c>
    </row>
    <row r="177" spans="1:11" hidden="1" x14ac:dyDescent="0.2">
      <c r="A177">
        <v>288</v>
      </c>
      <c r="B177" t="str">
        <f>A177&amp;G177</f>
        <v>288[Gestión Hídrica El Soldado] Pozo Los Litres N° 05 (PLL-05)</v>
      </c>
      <c r="C177" s="5">
        <v>45986</v>
      </c>
      <c r="D177" t="s">
        <v>7</v>
      </c>
      <c r="E177" t="s">
        <v>209</v>
      </c>
      <c r="F177" t="s">
        <v>13</v>
      </c>
      <c r="G177" t="s">
        <v>56</v>
      </c>
      <c r="H177" t="s">
        <v>10</v>
      </c>
      <c r="I177" t="s">
        <v>60</v>
      </c>
      <c r="J177" t="s">
        <v>52</v>
      </c>
      <c r="K177" t="s">
        <v>416</v>
      </c>
    </row>
    <row r="178" spans="1:11" hidden="1" x14ac:dyDescent="0.2">
      <c r="A178">
        <v>288</v>
      </c>
      <c r="B178" t="str">
        <f>A178&amp;G178</f>
        <v>288[Gestión Hídrica El Soldado] Pozo Los Litres N° 06 (PLL-06) Nodo 154</v>
      </c>
      <c r="C178" s="5">
        <v>45986</v>
      </c>
      <c r="D178" t="s">
        <v>7</v>
      </c>
      <c r="E178" t="s">
        <v>209</v>
      </c>
      <c r="F178" t="s">
        <v>13</v>
      </c>
      <c r="G178" t="s">
        <v>57</v>
      </c>
      <c r="H178" t="s">
        <v>10</v>
      </c>
      <c r="I178" t="s">
        <v>60</v>
      </c>
      <c r="J178" t="s">
        <v>52</v>
      </c>
      <c r="K178" t="s">
        <v>417</v>
      </c>
    </row>
    <row r="179" spans="1:11" hidden="1" x14ac:dyDescent="0.2">
      <c r="A179">
        <v>290</v>
      </c>
      <c r="B179" t="str">
        <f>A179&amp;G179</f>
        <v>290[Los Bronces - Riecillos] R2700 Gateway</v>
      </c>
      <c r="C179" s="5">
        <v>45986</v>
      </c>
      <c r="D179" t="s">
        <v>43</v>
      </c>
      <c r="E179" t="s">
        <v>256</v>
      </c>
      <c r="F179" t="s">
        <v>21</v>
      </c>
      <c r="G179" t="s">
        <v>44</v>
      </c>
      <c r="H179" t="s">
        <v>10</v>
      </c>
      <c r="I179" t="s">
        <v>45</v>
      </c>
      <c r="J179" t="s">
        <v>46</v>
      </c>
      <c r="K179" t="s">
        <v>418</v>
      </c>
    </row>
    <row r="180" spans="1:11" hidden="1" x14ac:dyDescent="0.2">
      <c r="A180">
        <v>290</v>
      </c>
      <c r="B180" t="str">
        <f>A180&amp;G180</f>
        <v>290[Los Bronces - Riecillos] R3050 Gateway</v>
      </c>
      <c r="C180" s="5">
        <v>45986</v>
      </c>
      <c r="D180" t="s">
        <v>43</v>
      </c>
      <c r="E180" t="s">
        <v>256</v>
      </c>
      <c r="F180" t="s">
        <v>21</v>
      </c>
      <c r="G180" t="s">
        <v>24</v>
      </c>
      <c r="H180" t="s">
        <v>10</v>
      </c>
      <c r="I180" t="s">
        <v>45</v>
      </c>
      <c r="J180" t="s">
        <v>46</v>
      </c>
      <c r="K180" t="s">
        <v>419</v>
      </c>
    </row>
    <row r="181" spans="1:11" hidden="1" x14ac:dyDescent="0.2">
      <c r="A181">
        <v>292</v>
      </c>
      <c r="B181" t="str">
        <f>A181&amp;G181</f>
        <v>292[Gestión Hídrica El Soldado] Sector -300 Gateway</v>
      </c>
      <c r="C181" s="5">
        <v>45986</v>
      </c>
      <c r="D181" t="s">
        <v>7</v>
      </c>
      <c r="E181" t="s">
        <v>209</v>
      </c>
      <c r="F181" t="s">
        <v>13</v>
      </c>
      <c r="G181" t="s">
        <v>38</v>
      </c>
      <c r="H181" t="s">
        <v>10</v>
      </c>
      <c r="I181" t="s">
        <v>60</v>
      </c>
      <c r="J181" t="s">
        <v>39</v>
      </c>
      <c r="K181" t="s">
        <v>420</v>
      </c>
    </row>
    <row r="182" spans="1:11" hidden="1" x14ac:dyDescent="0.2">
      <c r="A182">
        <v>292</v>
      </c>
      <c r="B182" t="str">
        <f>A182&amp;G182</f>
        <v>292[Gestión Hídrica El Soldado] Lora Piscina 3800</v>
      </c>
      <c r="C182" s="5">
        <v>45986</v>
      </c>
      <c r="D182" t="s">
        <v>7</v>
      </c>
      <c r="E182" t="s">
        <v>209</v>
      </c>
      <c r="F182" t="s">
        <v>13</v>
      </c>
      <c r="G182" t="s">
        <v>40</v>
      </c>
      <c r="H182" t="s">
        <v>10</v>
      </c>
      <c r="I182" t="s">
        <v>60</v>
      </c>
      <c r="J182" t="s">
        <v>39</v>
      </c>
      <c r="K182" t="s">
        <v>421</v>
      </c>
    </row>
    <row r="183" spans="1:11" hidden="1" x14ac:dyDescent="0.2">
      <c r="A183">
        <v>292</v>
      </c>
      <c r="B183" t="str">
        <f>A183&amp;G183</f>
        <v>292PEM 4
PEM 6
PEM 10
PEM 9
PEM 1 
PEM 2
PEM 3</v>
      </c>
      <c r="C183" s="5">
        <v>45986</v>
      </c>
      <c r="D183" t="s">
        <v>7</v>
      </c>
      <c r="E183" t="s">
        <v>209</v>
      </c>
      <c r="F183" t="s">
        <v>8</v>
      </c>
      <c r="G183" t="s">
        <v>41</v>
      </c>
      <c r="H183" t="s">
        <v>10</v>
      </c>
      <c r="I183" t="s">
        <v>60</v>
      </c>
      <c r="J183" t="s">
        <v>39</v>
      </c>
      <c r="K183" t="s">
        <v>422</v>
      </c>
    </row>
    <row r="184" spans="1:11" hidden="1" x14ac:dyDescent="0.2">
      <c r="A184">
        <v>292</v>
      </c>
      <c r="B184" t="str">
        <f>A184&amp;G184</f>
        <v>292[Gestión Hídrica El Soldado] Pozo N° 3A (P3A) Nodo B1</v>
      </c>
      <c r="C184" s="5">
        <v>45986</v>
      </c>
      <c r="D184" t="s">
        <v>7</v>
      </c>
      <c r="E184" t="s">
        <v>209</v>
      </c>
      <c r="F184" t="s">
        <v>13</v>
      </c>
      <c r="G184" t="s">
        <v>42</v>
      </c>
      <c r="H184" t="s">
        <v>10</v>
      </c>
      <c r="I184" t="s">
        <v>60</v>
      </c>
      <c r="J184" t="s">
        <v>39</v>
      </c>
      <c r="K184" t="s">
        <v>423</v>
      </c>
    </row>
    <row r="185" spans="1:11" hidden="1" x14ac:dyDescent="0.2">
      <c r="A185">
        <v>310</v>
      </c>
      <c r="B185" t="str">
        <f>A185&amp;G185</f>
        <v>310[SSR Comité Manzanar] Recinto Planta Principal</v>
      </c>
      <c r="C185" s="5">
        <v>45986</v>
      </c>
      <c r="D185" t="s">
        <v>205</v>
      </c>
      <c r="E185" t="s">
        <v>146</v>
      </c>
      <c r="F185" t="s">
        <v>146</v>
      </c>
      <c r="G185" t="s">
        <v>212</v>
      </c>
      <c r="H185" t="s">
        <v>10</v>
      </c>
      <c r="I185" t="s">
        <v>45</v>
      </c>
      <c r="J185" t="s">
        <v>227</v>
      </c>
      <c r="K185" t="s">
        <v>424</v>
      </c>
    </row>
    <row r="186" spans="1:11" hidden="1" x14ac:dyDescent="0.2">
      <c r="A186">
        <v>310</v>
      </c>
      <c r="B186" t="str">
        <f>A186&amp;G186</f>
        <v>310[SSR Comité Manzanar] Lora Estanque Manzanar</v>
      </c>
      <c r="C186" s="5">
        <v>45986</v>
      </c>
      <c r="D186" t="s">
        <v>205</v>
      </c>
      <c r="E186" t="s">
        <v>146</v>
      </c>
      <c r="F186" t="s">
        <v>146</v>
      </c>
      <c r="G186" t="s">
        <v>147</v>
      </c>
      <c r="H186" t="s">
        <v>10</v>
      </c>
      <c r="I186" t="s">
        <v>28</v>
      </c>
      <c r="J186" t="s">
        <v>227</v>
      </c>
      <c r="K186" t="s">
        <v>425</v>
      </c>
    </row>
    <row r="187" spans="1:11" x14ac:dyDescent="0.2">
      <c r="A187">
        <v>296</v>
      </c>
      <c r="B187" t="str">
        <f>A187&amp;G187</f>
        <v>296[Gestión Hídrica El Soldado] PM-30 Nodo</v>
      </c>
      <c r="C187" s="5">
        <v>45987</v>
      </c>
      <c r="D187" t="s">
        <v>7</v>
      </c>
      <c r="E187" t="s">
        <v>209</v>
      </c>
      <c r="F187" t="s">
        <v>13</v>
      </c>
      <c r="G187" t="s">
        <v>29</v>
      </c>
      <c r="H187" t="s">
        <v>10</v>
      </c>
      <c r="I187" t="s">
        <v>11</v>
      </c>
      <c r="J187" t="s">
        <v>12</v>
      </c>
      <c r="K187" t="s">
        <v>426</v>
      </c>
    </row>
    <row r="188" spans="1:11" x14ac:dyDescent="0.2">
      <c r="A188">
        <v>296</v>
      </c>
      <c r="B188" t="str">
        <f>A188&amp;G188</f>
        <v>296[Gestión Hídrica El Soldado] PM-28C Nodo</v>
      </c>
      <c r="C188" s="5">
        <v>45987</v>
      </c>
      <c r="D188" t="s">
        <v>7</v>
      </c>
      <c r="E188" t="s">
        <v>209</v>
      </c>
      <c r="F188" t="s">
        <v>13</v>
      </c>
      <c r="G188" t="s">
        <v>30</v>
      </c>
      <c r="H188" t="s">
        <v>10</v>
      </c>
      <c r="I188" t="s">
        <v>11</v>
      </c>
      <c r="J188" t="s">
        <v>12</v>
      </c>
      <c r="K188" t="s">
        <v>426</v>
      </c>
    </row>
    <row r="189" spans="1:11" x14ac:dyDescent="0.2">
      <c r="A189">
        <v>296</v>
      </c>
      <c r="B189" t="str">
        <f>A189&amp;G189</f>
        <v>296[Gestión Hídrica El Soldado] PM-1 Nodo B17</v>
      </c>
      <c r="C189" s="5">
        <v>45987</v>
      </c>
      <c r="D189" t="s">
        <v>7</v>
      </c>
      <c r="E189" t="s">
        <v>209</v>
      </c>
      <c r="F189" t="s">
        <v>13</v>
      </c>
      <c r="G189" t="s">
        <v>31</v>
      </c>
      <c r="H189" t="s">
        <v>10</v>
      </c>
      <c r="I189" t="s">
        <v>11</v>
      </c>
      <c r="J189" t="s">
        <v>12</v>
      </c>
      <c r="K189" t="s">
        <v>426</v>
      </c>
    </row>
    <row r="190" spans="1:11" x14ac:dyDescent="0.2">
      <c r="A190">
        <v>296</v>
      </c>
      <c r="B190" t="str">
        <f>A190&amp;G190</f>
        <v>296[Gestión Hídrica El Soldado] PM-07 Gateway</v>
      </c>
      <c r="C190" s="5">
        <v>45987</v>
      </c>
      <c r="D190" t="s">
        <v>7</v>
      </c>
      <c r="E190" t="s">
        <v>209</v>
      </c>
      <c r="F190" t="s">
        <v>13</v>
      </c>
      <c r="G190" t="s">
        <v>32</v>
      </c>
      <c r="H190" t="s">
        <v>10</v>
      </c>
      <c r="I190" t="s">
        <v>11</v>
      </c>
      <c r="J190" t="s">
        <v>12</v>
      </c>
      <c r="K190" t="s">
        <v>426</v>
      </c>
    </row>
    <row r="191" spans="1:11" x14ac:dyDescent="0.2">
      <c r="A191">
        <v>296</v>
      </c>
      <c r="B191" t="str">
        <f>A191&amp;G191</f>
        <v>296PM 28
PM 30
PM 07
PM 06
PM 26
PM 05</v>
      </c>
      <c r="C191" s="5">
        <v>45987</v>
      </c>
      <c r="D191" t="s">
        <v>7</v>
      </c>
      <c r="E191" t="s">
        <v>209</v>
      </c>
      <c r="F191" t="s">
        <v>8</v>
      </c>
      <c r="G191" t="s">
        <v>33</v>
      </c>
      <c r="H191" t="s">
        <v>10</v>
      </c>
      <c r="I191" t="s">
        <v>11</v>
      </c>
      <c r="J191" t="s">
        <v>12</v>
      </c>
      <c r="K191" t="s">
        <v>427</v>
      </c>
    </row>
    <row r="192" spans="1:11" hidden="1" x14ac:dyDescent="0.2">
      <c r="A192">
        <v>299</v>
      </c>
      <c r="B192" t="str">
        <f>A192&amp;G192</f>
        <v>299[Los Bronces - Riecillos] R2700 Caudalimetro B</v>
      </c>
      <c r="C192" s="5">
        <v>45987</v>
      </c>
      <c r="D192" t="s">
        <v>20</v>
      </c>
      <c r="E192" t="s">
        <v>256</v>
      </c>
      <c r="F192" t="s">
        <v>21</v>
      </c>
      <c r="G192" t="s">
        <v>22</v>
      </c>
      <c r="H192" t="s">
        <v>10</v>
      </c>
      <c r="I192" t="s">
        <v>25</v>
      </c>
      <c r="J192" t="s">
        <v>26</v>
      </c>
      <c r="K192" t="s">
        <v>428</v>
      </c>
    </row>
    <row r="193" spans="1:11" hidden="1" x14ac:dyDescent="0.2">
      <c r="A193">
        <v>299</v>
      </c>
      <c r="B193" t="str">
        <f>A193&amp;G193</f>
        <v>299[Los Bronces - Riecillos] R3050 Caudalimetro C</v>
      </c>
      <c r="C193" s="5">
        <v>45987</v>
      </c>
      <c r="D193" t="s">
        <v>20</v>
      </c>
      <c r="E193" t="s">
        <v>256</v>
      </c>
      <c r="F193" t="s">
        <v>21</v>
      </c>
      <c r="G193" t="s">
        <v>27</v>
      </c>
      <c r="H193" t="s">
        <v>10</v>
      </c>
      <c r="I193" t="s">
        <v>28</v>
      </c>
      <c r="J193" t="s">
        <v>26</v>
      </c>
      <c r="K193" t="s">
        <v>429</v>
      </c>
    </row>
    <row r="194" spans="1:11" hidden="1" x14ac:dyDescent="0.2">
      <c r="A194">
        <v>299</v>
      </c>
      <c r="B194" t="str">
        <f>A194&amp;G194</f>
        <v>299[Los Bronces - Riecillos] R3050 Gateway</v>
      </c>
      <c r="C194" s="5">
        <v>45987</v>
      </c>
      <c r="D194" t="s">
        <v>20</v>
      </c>
      <c r="E194" t="s">
        <v>256</v>
      </c>
      <c r="F194" t="s">
        <v>21</v>
      </c>
      <c r="G194" t="s">
        <v>24</v>
      </c>
      <c r="H194" t="s">
        <v>10</v>
      </c>
      <c r="I194" t="s">
        <v>25</v>
      </c>
      <c r="J194" t="s">
        <v>26</v>
      </c>
      <c r="K194" t="s">
        <v>430</v>
      </c>
    </row>
    <row r="195" spans="1:11" hidden="1" x14ac:dyDescent="0.2">
      <c r="A195">
        <v>300</v>
      </c>
      <c r="B195" t="str">
        <f>A195&amp;G195</f>
        <v>300[Los Bronces - Riecillos] R2700 Caudalimetro B</v>
      </c>
      <c r="C195" s="5">
        <v>45988</v>
      </c>
      <c r="D195" t="s">
        <v>20</v>
      </c>
      <c r="E195" t="s">
        <v>256</v>
      </c>
      <c r="F195" t="s">
        <v>21</v>
      </c>
      <c r="G195" t="s">
        <v>22</v>
      </c>
      <c r="H195" t="s">
        <v>10</v>
      </c>
      <c r="I195" t="s">
        <v>28</v>
      </c>
      <c r="J195" t="s">
        <v>23</v>
      </c>
      <c r="K195" t="s">
        <v>431</v>
      </c>
    </row>
    <row r="196" spans="1:11" hidden="1" x14ac:dyDescent="0.2">
      <c r="A196">
        <v>300</v>
      </c>
      <c r="B196" t="str">
        <f>A196&amp;G196</f>
        <v>300[Los Bronces - Riecillos] R3050 Gateway</v>
      </c>
      <c r="C196" s="5">
        <v>45988</v>
      </c>
      <c r="D196" t="s">
        <v>20</v>
      </c>
      <c r="E196" t="s">
        <v>256</v>
      </c>
      <c r="F196" t="s">
        <v>21</v>
      </c>
      <c r="G196" t="s">
        <v>24</v>
      </c>
      <c r="H196" t="s">
        <v>10</v>
      </c>
      <c r="I196" t="s">
        <v>28</v>
      </c>
      <c r="J196" t="s">
        <v>23</v>
      </c>
      <c r="K196" t="s">
        <v>432</v>
      </c>
    </row>
    <row r="197" spans="1:11" hidden="1" x14ac:dyDescent="0.2">
      <c r="A197">
        <v>302</v>
      </c>
      <c r="B197" t="str">
        <f>A197&amp;G197</f>
        <v>302[Gestión Hídrica El Soldado] Zona Veta Blanca Nodo Piscina 4000</v>
      </c>
      <c r="C197" s="5">
        <v>45988</v>
      </c>
      <c r="D197" t="s">
        <v>7</v>
      </c>
      <c r="E197" t="s">
        <v>209</v>
      </c>
      <c r="F197" t="s">
        <v>13</v>
      </c>
      <c r="G197" t="s">
        <v>14</v>
      </c>
      <c r="H197" t="s">
        <v>10</v>
      </c>
      <c r="I197" t="s">
        <v>15</v>
      </c>
      <c r="J197" t="s">
        <v>12</v>
      </c>
      <c r="K197" t="s">
        <v>433</v>
      </c>
    </row>
    <row r="198" spans="1:11" hidden="1" x14ac:dyDescent="0.2">
      <c r="A198">
        <v>302</v>
      </c>
      <c r="B198" t="str">
        <f>A198&amp;G198</f>
        <v>302[Gestión Hídrica El Soldado] Pozo Inyección Barrera Hidráulica PI7 Nodo B7</v>
      </c>
      <c r="C198" s="5">
        <v>45988</v>
      </c>
      <c r="D198" t="s">
        <v>7</v>
      </c>
      <c r="E198" t="s">
        <v>209</v>
      </c>
      <c r="F198" t="s">
        <v>13</v>
      </c>
      <c r="G198" t="s">
        <v>16</v>
      </c>
      <c r="H198" t="s">
        <v>10</v>
      </c>
      <c r="I198" t="s">
        <v>15</v>
      </c>
      <c r="J198" t="s">
        <v>12</v>
      </c>
      <c r="K198" t="s">
        <v>434</v>
      </c>
    </row>
    <row r="199" spans="1:11" x14ac:dyDescent="0.2">
      <c r="A199">
        <v>302</v>
      </c>
      <c r="B199" t="str">
        <f>A199&amp;G199</f>
        <v>302[Gestión Hídrica El Soldado] PM-26 Nodo</v>
      </c>
      <c r="C199" s="5">
        <v>45988</v>
      </c>
      <c r="D199" t="s">
        <v>7</v>
      </c>
      <c r="E199" t="s">
        <v>209</v>
      </c>
      <c r="F199" t="s">
        <v>13</v>
      </c>
      <c r="G199" t="s">
        <v>17</v>
      </c>
      <c r="H199" t="s">
        <v>10</v>
      </c>
      <c r="I199" t="s">
        <v>11</v>
      </c>
      <c r="J199" t="s">
        <v>12</v>
      </c>
      <c r="K199" t="s">
        <v>435</v>
      </c>
    </row>
    <row r="200" spans="1:11" x14ac:dyDescent="0.2">
      <c r="A200">
        <v>302</v>
      </c>
      <c r="B200" t="str">
        <f>A200&amp;G200</f>
        <v>302[Gestión Hídrica El Soldado] PM-6 Nodo 158</v>
      </c>
      <c r="C200" s="5">
        <v>45988</v>
      </c>
      <c r="D200" t="s">
        <v>7</v>
      </c>
      <c r="E200" t="s">
        <v>209</v>
      </c>
      <c r="F200" t="s">
        <v>13</v>
      </c>
      <c r="G200" t="s">
        <v>18</v>
      </c>
      <c r="H200" t="s">
        <v>10</v>
      </c>
      <c r="I200" t="s">
        <v>11</v>
      </c>
      <c r="J200" t="s">
        <v>12</v>
      </c>
      <c r="K200" t="s">
        <v>435</v>
      </c>
    </row>
    <row r="201" spans="1:11" x14ac:dyDescent="0.2">
      <c r="A201">
        <v>302</v>
      </c>
      <c r="B201" t="str">
        <f>A201&amp;G201</f>
        <v>302P3a p3b y gateway ao1</v>
      </c>
      <c r="C201" s="5">
        <v>45988</v>
      </c>
      <c r="D201" t="s">
        <v>7</v>
      </c>
      <c r="E201" t="s">
        <v>209</v>
      </c>
      <c r="F201" t="s">
        <v>8</v>
      </c>
      <c r="G201" t="s">
        <v>19</v>
      </c>
      <c r="H201" t="s">
        <v>10</v>
      </c>
      <c r="I201" t="s">
        <v>11</v>
      </c>
      <c r="J201" t="s">
        <v>12</v>
      </c>
      <c r="K201" t="s">
        <v>435</v>
      </c>
    </row>
    <row r="202" spans="1:11" hidden="1" x14ac:dyDescent="0.2">
      <c r="A202">
        <v>309</v>
      </c>
      <c r="B202" t="str">
        <f>A202&amp;G202</f>
        <v>309[APR Parcelación El Melón RP1] Pozo 1 y 2 y Estanques Azul y Acumulación</v>
      </c>
      <c r="C202" s="5">
        <v>45988</v>
      </c>
      <c r="D202" t="s">
        <v>204</v>
      </c>
      <c r="E202" t="s">
        <v>258</v>
      </c>
      <c r="F202" t="s">
        <v>143</v>
      </c>
      <c r="G202" t="s">
        <v>144</v>
      </c>
      <c r="H202" t="s">
        <v>10</v>
      </c>
      <c r="I202" t="s">
        <v>25</v>
      </c>
      <c r="J202" t="s">
        <v>226</v>
      </c>
      <c r="K202" t="s">
        <v>436</v>
      </c>
    </row>
    <row r="203" spans="1:11" hidden="1" x14ac:dyDescent="0.2">
      <c r="A203">
        <v>311</v>
      </c>
      <c r="B203" t="str">
        <f>A203&amp;G203</f>
        <v>311[APR Carmen San José] Pozo 5 y Estanques</v>
      </c>
      <c r="C203" s="5">
        <v>45988</v>
      </c>
      <c r="D203" t="s">
        <v>205</v>
      </c>
      <c r="E203" t="s">
        <v>258</v>
      </c>
      <c r="F203" t="s">
        <v>207</v>
      </c>
      <c r="G203" t="s">
        <v>213</v>
      </c>
      <c r="H203" t="s">
        <v>10</v>
      </c>
      <c r="I203" t="s">
        <v>28</v>
      </c>
      <c r="J203" t="s">
        <v>228</v>
      </c>
      <c r="K203" t="s">
        <v>437</v>
      </c>
    </row>
    <row r="204" spans="1:11" x14ac:dyDescent="0.2">
      <c r="A204">
        <v>305</v>
      </c>
      <c r="B204" t="str">
        <f>A204&amp;G204</f>
        <v>305PI 17
PI 18
PI 19
PI 20</v>
      </c>
      <c r="C204" s="5">
        <v>45989</v>
      </c>
      <c r="D204" t="s">
        <v>7</v>
      </c>
      <c r="E204" t="s">
        <v>209</v>
      </c>
      <c r="F204" t="s">
        <v>8</v>
      </c>
      <c r="G204" t="s">
        <v>9</v>
      </c>
      <c r="H204" t="s">
        <v>10</v>
      </c>
      <c r="I204" t="s">
        <v>11</v>
      </c>
      <c r="J204" t="s">
        <v>12</v>
      </c>
      <c r="K204" t="s">
        <v>438</v>
      </c>
    </row>
    <row r="205" spans="1:11" hidden="1" x14ac:dyDescent="0.2">
      <c r="A205">
        <v>306</v>
      </c>
      <c r="B205" t="str">
        <f>A205&amp;G205</f>
        <v>306[Global Tórtolas] Pozo PP-31C</v>
      </c>
      <c r="C205" s="5">
        <v>45992</v>
      </c>
      <c r="D205" t="s">
        <v>20</v>
      </c>
      <c r="E205" t="s">
        <v>254</v>
      </c>
      <c r="F205" t="s">
        <v>48</v>
      </c>
      <c r="G205" t="s">
        <v>210</v>
      </c>
      <c r="H205" t="s">
        <v>10</v>
      </c>
      <c r="I205" t="s">
        <v>28</v>
      </c>
      <c r="J205" t="s">
        <v>225</v>
      </c>
      <c r="K205" t="s">
        <v>439</v>
      </c>
    </row>
    <row r="206" spans="1:11" hidden="1" x14ac:dyDescent="0.2">
      <c r="A206">
        <v>306</v>
      </c>
      <c r="B206" t="str">
        <f>A206&amp;G206</f>
        <v>306Container</v>
      </c>
      <c r="C206" s="5">
        <v>45992</v>
      </c>
      <c r="D206" t="s">
        <v>20</v>
      </c>
      <c r="E206" t="s">
        <v>262</v>
      </c>
      <c r="F206" t="s">
        <v>206</v>
      </c>
      <c r="G206" t="s">
        <v>211</v>
      </c>
      <c r="H206" t="s">
        <v>10</v>
      </c>
      <c r="I206" t="s">
        <v>203</v>
      </c>
      <c r="J206" t="s">
        <v>225</v>
      </c>
      <c r="K206" t="s">
        <v>440</v>
      </c>
    </row>
    <row r="207" spans="1:11" hidden="1" x14ac:dyDescent="0.2">
      <c r="A207">
        <v>308</v>
      </c>
      <c r="B207" t="str">
        <f>A207&amp;G207</f>
        <v>308[Gestión Hídrica El Soldado] Pozo El Melón N° 02 (PEM-02) Gateway A</v>
      </c>
      <c r="C207" s="5">
        <v>45993</v>
      </c>
      <c r="D207" t="s">
        <v>7</v>
      </c>
      <c r="E207" t="s">
        <v>209</v>
      </c>
      <c r="F207" t="s">
        <v>13</v>
      </c>
      <c r="G207" t="s">
        <v>68</v>
      </c>
      <c r="H207" t="s">
        <v>10</v>
      </c>
      <c r="I207" t="s">
        <v>60</v>
      </c>
      <c r="J207" t="s">
        <v>12</v>
      </c>
      <c r="K207" t="s">
        <v>441</v>
      </c>
    </row>
    <row r="208" spans="1:11" hidden="1" x14ac:dyDescent="0.2">
      <c r="A208">
        <v>312</v>
      </c>
      <c r="B208" t="str">
        <f>A208&amp;G208</f>
        <v>312[Global Tórtolas] Pozo P2G</v>
      </c>
      <c r="C208" s="5">
        <v>45993</v>
      </c>
      <c r="D208" t="s">
        <v>43</v>
      </c>
      <c r="E208" t="s">
        <v>254</v>
      </c>
      <c r="F208" t="s">
        <v>48</v>
      </c>
      <c r="G208" t="s">
        <v>134</v>
      </c>
      <c r="H208" t="s">
        <v>10</v>
      </c>
      <c r="I208" t="s">
        <v>28</v>
      </c>
      <c r="J208" t="s">
        <v>229</v>
      </c>
      <c r="K208" t="s">
        <v>442</v>
      </c>
    </row>
    <row r="209" spans="1:11" hidden="1" x14ac:dyDescent="0.2">
      <c r="A209">
        <v>312</v>
      </c>
      <c r="B209" t="str">
        <f>A209&amp;G209</f>
        <v>312[Global Tórtolas] Pozo P7</v>
      </c>
      <c r="C209" s="5">
        <v>45993</v>
      </c>
      <c r="D209" t="s">
        <v>43</v>
      </c>
      <c r="E209" t="s">
        <v>254</v>
      </c>
      <c r="F209" t="s">
        <v>48</v>
      </c>
      <c r="G209" t="s">
        <v>214</v>
      </c>
      <c r="H209" t="s">
        <v>10</v>
      </c>
      <c r="I209" t="s">
        <v>25</v>
      </c>
      <c r="J209" t="s">
        <v>229</v>
      </c>
      <c r="K209" t="s">
        <v>443</v>
      </c>
    </row>
    <row r="210" spans="1:11" hidden="1" x14ac:dyDescent="0.2">
      <c r="A210">
        <v>312</v>
      </c>
      <c r="B210" t="str">
        <f>A210&amp;G210</f>
        <v>312[Global Tórtolas] Pozo P3GB</v>
      </c>
      <c r="C210" s="5">
        <v>45993</v>
      </c>
      <c r="D210" t="s">
        <v>43</v>
      </c>
      <c r="E210" t="s">
        <v>254</v>
      </c>
      <c r="F210" t="s">
        <v>48</v>
      </c>
      <c r="G210" t="s">
        <v>155</v>
      </c>
      <c r="H210" t="s">
        <v>10</v>
      </c>
      <c r="I210" t="s">
        <v>25</v>
      </c>
      <c r="J210" t="s">
        <v>229</v>
      </c>
      <c r="K210" t="s">
        <v>444</v>
      </c>
    </row>
    <row r="211" spans="1:11" hidden="1" x14ac:dyDescent="0.2">
      <c r="A211">
        <v>312</v>
      </c>
      <c r="B211" t="str">
        <f>A211&amp;G211</f>
        <v>312[Global Tórtolas] Pozo PBM5</v>
      </c>
      <c r="C211" s="5">
        <v>45993</v>
      </c>
      <c r="D211" t="s">
        <v>43</v>
      </c>
      <c r="E211" t="s">
        <v>254</v>
      </c>
      <c r="F211" t="s">
        <v>48</v>
      </c>
      <c r="G211" t="s">
        <v>215</v>
      </c>
      <c r="H211" t="s">
        <v>10</v>
      </c>
      <c r="I211" t="s">
        <v>25</v>
      </c>
      <c r="J211" t="s">
        <v>229</v>
      </c>
      <c r="K211" t="s">
        <v>445</v>
      </c>
    </row>
    <row r="212" spans="1:11" hidden="1" x14ac:dyDescent="0.2">
      <c r="A212">
        <v>313</v>
      </c>
      <c r="B212" t="str">
        <f>A212&amp;G212</f>
        <v xml:space="preserve">313Bodega recursos hidricos </v>
      </c>
      <c r="C212" s="5">
        <v>45994</v>
      </c>
      <c r="D212" t="s">
        <v>7</v>
      </c>
      <c r="E212" t="s">
        <v>209</v>
      </c>
      <c r="F212" t="s">
        <v>8</v>
      </c>
      <c r="G212" t="s">
        <v>216</v>
      </c>
      <c r="H212" t="s">
        <v>10</v>
      </c>
      <c r="I212" t="s">
        <v>203</v>
      </c>
      <c r="J212" t="s">
        <v>12</v>
      </c>
      <c r="K212" t="s">
        <v>446</v>
      </c>
    </row>
    <row r="213" spans="1:11" x14ac:dyDescent="0.2">
      <c r="A213">
        <v>313</v>
      </c>
      <c r="B213" t="str">
        <f>A213&amp;G213</f>
        <v>313[Gestión Hídrica El Soldado] PM-3 Nodo B19</v>
      </c>
      <c r="C213" s="5">
        <v>45994</v>
      </c>
      <c r="D213" t="s">
        <v>7</v>
      </c>
      <c r="E213" t="s">
        <v>209</v>
      </c>
      <c r="F213" t="s">
        <v>13</v>
      </c>
      <c r="G213" t="s">
        <v>62</v>
      </c>
      <c r="H213" t="s">
        <v>10</v>
      </c>
      <c r="I213" t="s">
        <v>11</v>
      </c>
      <c r="J213" t="s">
        <v>12</v>
      </c>
      <c r="K213" t="s">
        <v>447</v>
      </c>
    </row>
    <row r="214" spans="1:11" x14ac:dyDescent="0.2">
      <c r="A214">
        <v>313</v>
      </c>
      <c r="B214" t="str">
        <f>A214&amp;G214</f>
        <v>313[Gestión Hídrica El Soldado] PM-4 Nodo B20</v>
      </c>
      <c r="C214" s="5">
        <v>45994</v>
      </c>
      <c r="D214" t="s">
        <v>7</v>
      </c>
      <c r="E214" t="s">
        <v>209</v>
      </c>
      <c r="F214" t="s">
        <v>13</v>
      </c>
      <c r="G214" t="s">
        <v>63</v>
      </c>
      <c r="H214" t="s">
        <v>10</v>
      </c>
      <c r="I214" t="s">
        <v>11</v>
      </c>
      <c r="J214" t="s">
        <v>12</v>
      </c>
      <c r="K214" t="s">
        <v>448</v>
      </c>
    </row>
    <row r="215" spans="1:11" x14ac:dyDescent="0.2">
      <c r="A215">
        <v>313</v>
      </c>
      <c r="B215" t="str">
        <f>A215&amp;G215</f>
        <v>313[Gestión Hídrica El Soldado] Pozo Inyección Barrera Hidráulica PI1 Nodo B22</v>
      </c>
      <c r="C215" s="5">
        <v>45994</v>
      </c>
      <c r="D215" t="s">
        <v>7</v>
      </c>
      <c r="E215" t="s">
        <v>209</v>
      </c>
      <c r="F215" t="s">
        <v>13</v>
      </c>
      <c r="G215" t="s">
        <v>217</v>
      </c>
      <c r="H215" t="s">
        <v>10</v>
      </c>
      <c r="I215" t="s">
        <v>11</v>
      </c>
      <c r="J215" t="s">
        <v>12</v>
      </c>
      <c r="K215" t="s">
        <v>449</v>
      </c>
    </row>
    <row r="216" spans="1:11" hidden="1" x14ac:dyDescent="0.2">
      <c r="A216">
        <v>314</v>
      </c>
      <c r="B216" t="str">
        <f>A216&amp;G216</f>
        <v>314[Global Tórtolas] Pozo PP-31C</v>
      </c>
      <c r="C216" s="5">
        <v>45994</v>
      </c>
      <c r="D216" t="s">
        <v>20</v>
      </c>
      <c r="E216" t="s">
        <v>254</v>
      </c>
      <c r="F216" t="s">
        <v>48</v>
      </c>
      <c r="G216" t="s">
        <v>210</v>
      </c>
      <c r="H216" t="s">
        <v>10</v>
      </c>
      <c r="I216" t="s">
        <v>60</v>
      </c>
      <c r="J216" t="s">
        <v>230</v>
      </c>
      <c r="K216" t="s">
        <v>450</v>
      </c>
    </row>
    <row r="217" spans="1:11" hidden="1" x14ac:dyDescent="0.2">
      <c r="A217">
        <v>315</v>
      </c>
      <c r="B217" t="str">
        <f>A217&amp;G217</f>
        <v>315[Gestión Hídrica El Soldado] Caudalimetros HDS Sector Planta</v>
      </c>
      <c r="C217" s="5">
        <v>45995</v>
      </c>
      <c r="D217" t="s">
        <v>20</v>
      </c>
      <c r="E217" t="s">
        <v>209</v>
      </c>
      <c r="F217" t="s">
        <v>13</v>
      </c>
      <c r="G217" t="s">
        <v>218</v>
      </c>
      <c r="H217" t="s">
        <v>10</v>
      </c>
      <c r="I217" t="s">
        <v>28</v>
      </c>
      <c r="J217" t="s">
        <v>231</v>
      </c>
      <c r="K217" t="s">
        <v>451</v>
      </c>
    </row>
    <row r="218" spans="1:11" hidden="1" x14ac:dyDescent="0.2">
      <c r="A218">
        <v>315</v>
      </c>
      <c r="B218" t="str">
        <f>A218&amp;G218</f>
        <v>315[Gestión Hídrica El Soldado] Lora Dren los Caleos</v>
      </c>
      <c r="C218" s="5">
        <v>45995</v>
      </c>
      <c r="D218" t="s">
        <v>20</v>
      </c>
      <c r="E218" t="s">
        <v>209</v>
      </c>
      <c r="F218" t="s">
        <v>13</v>
      </c>
      <c r="G218" t="s">
        <v>219</v>
      </c>
      <c r="H218" t="s">
        <v>10</v>
      </c>
      <c r="I218" t="s">
        <v>28</v>
      </c>
      <c r="J218" t="s">
        <v>231</v>
      </c>
      <c r="K218" t="s">
        <v>452</v>
      </c>
    </row>
    <row r="219" spans="1:11" x14ac:dyDescent="0.2">
      <c r="A219">
        <v>318</v>
      </c>
      <c r="B219" t="str">
        <f>A219&amp;G219</f>
        <v>318[Gestión Hídrica El Soldado] Pozo El Melón N° 04 (PEM-04) Nodo A11</v>
      </c>
      <c r="C219" s="5">
        <v>45996</v>
      </c>
      <c r="D219" t="s">
        <v>20</v>
      </c>
      <c r="E219" t="s">
        <v>209</v>
      </c>
      <c r="F219" t="s">
        <v>13</v>
      </c>
      <c r="G219" t="s">
        <v>220</v>
      </c>
      <c r="H219" t="s">
        <v>10</v>
      </c>
      <c r="I219" t="s">
        <v>11</v>
      </c>
      <c r="J219" t="s">
        <v>12</v>
      </c>
      <c r="K219" t="s">
        <v>453</v>
      </c>
    </row>
    <row r="220" spans="1:11" x14ac:dyDescent="0.2">
      <c r="A220">
        <v>318</v>
      </c>
      <c r="B220" t="str">
        <f>A220&amp;G220</f>
        <v>318[Gestión Hídrica El Soldado] Pozo El Melón N° 10 (PEM-10) Nodo A16</v>
      </c>
      <c r="C220" s="5">
        <v>45996</v>
      </c>
      <c r="D220" t="s">
        <v>20</v>
      </c>
      <c r="E220" t="s">
        <v>209</v>
      </c>
      <c r="F220" t="s">
        <v>13</v>
      </c>
      <c r="G220" t="s">
        <v>70</v>
      </c>
      <c r="H220" t="s">
        <v>10</v>
      </c>
      <c r="I220" t="s">
        <v>11</v>
      </c>
      <c r="J220" t="s">
        <v>12</v>
      </c>
      <c r="K220" t="s">
        <v>454</v>
      </c>
    </row>
    <row r="221" spans="1:11" hidden="1" x14ac:dyDescent="0.2">
      <c r="A221">
        <v>327</v>
      </c>
      <c r="B221" t="str">
        <f>A221&amp;G221</f>
        <v>327[Gestión Hídrica El Soldado] Pozo El Melón N° 06 (PEM-06) Nodo</v>
      </c>
      <c r="C221" s="5">
        <v>45996</v>
      </c>
      <c r="D221" t="s">
        <v>20</v>
      </c>
      <c r="E221" t="s">
        <v>209</v>
      </c>
      <c r="F221" t="s">
        <v>13</v>
      </c>
      <c r="G221" t="s">
        <v>149</v>
      </c>
      <c r="H221" t="s">
        <v>10</v>
      </c>
      <c r="I221" t="s">
        <v>28</v>
      </c>
      <c r="J221" t="s">
        <v>236</v>
      </c>
      <c r="K221" t="s">
        <v>455</v>
      </c>
    </row>
    <row r="222" spans="1:11" hidden="1" x14ac:dyDescent="0.2">
      <c r="A222">
        <v>327</v>
      </c>
      <c r="B222" t="str">
        <f>A222&amp;G222</f>
        <v>327PI17 AL PI20</v>
      </c>
      <c r="C222" s="5">
        <v>45996</v>
      </c>
      <c r="D222" t="s">
        <v>20</v>
      </c>
      <c r="E222" t="s">
        <v>209</v>
      </c>
      <c r="F222" t="s">
        <v>209</v>
      </c>
      <c r="G222" t="s">
        <v>223</v>
      </c>
      <c r="H222" t="s">
        <v>10</v>
      </c>
      <c r="I222" t="s">
        <v>60</v>
      </c>
      <c r="J222" t="s">
        <v>236</v>
      </c>
      <c r="K222" t="s">
        <v>456</v>
      </c>
    </row>
    <row r="223" spans="1:11" hidden="1" x14ac:dyDescent="0.2">
      <c r="A223">
        <v>321</v>
      </c>
      <c r="B223" t="str">
        <f>A223&amp;G223</f>
        <v>321[APR Los Caleos] Pozos y Bombas Elevadoras</v>
      </c>
      <c r="C223" s="5">
        <v>46000</v>
      </c>
      <c r="D223" t="s">
        <v>34</v>
      </c>
      <c r="E223" t="s">
        <v>258</v>
      </c>
      <c r="F223" t="s">
        <v>208</v>
      </c>
      <c r="G223" t="s">
        <v>222</v>
      </c>
      <c r="H223" t="s">
        <v>10</v>
      </c>
      <c r="I223" t="s">
        <v>15</v>
      </c>
      <c r="J223" t="s">
        <v>233</v>
      </c>
      <c r="K223" t="s">
        <v>457</v>
      </c>
    </row>
    <row r="224" spans="1:11" hidden="1" x14ac:dyDescent="0.2">
      <c r="A224">
        <v>321</v>
      </c>
      <c r="B224" t="str">
        <f>A224&amp;G224</f>
        <v>321[Gestión Hídrica El Soldado] Pozo El Melón N° 02 (PEM-02) Gateway A</v>
      </c>
      <c r="C224" s="5">
        <v>46000</v>
      </c>
      <c r="D224" t="s">
        <v>34</v>
      </c>
      <c r="E224" t="s">
        <v>209</v>
      </c>
      <c r="F224" t="s">
        <v>13</v>
      </c>
      <c r="G224" t="s">
        <v>68</v>
      </c>
      <c r="H224" t="s">
        <v>10</v>
      </c>
      <c r="I224" t="s">
        <v>60</v>
      </c>
      <c r="J224" t="s">
        <v>233</v>
      </c>
      <c r="K224" t="s">
        <v>458</v>
      </c>
    </row>
    <row r="225" spans="1:11" hidden="1" x14ac:dyDescent="0.2">
      <c r="A225">
        <v>320</v>
      </c>
      <c r="B225" t="str">
        <f>A225&amp;G225</f>
        <v>320Patio de tuberias</v>
      </c>
      <c r="C225" s="5">
        <v>46001</v>
      </c>
      <c r="D225" t="s">
        <v>20</v>
      </c>
      <c r="E225" t="s">
        <v>256</v>
      </c>
      <c r="F225" t="s">
        <v>21</v>
      </c>
      <c r="G225" t="s">
        <v>221</v>
      </c>
      <c r="H225" t="s">
        <v>10</v>
      </c>
      <c r="I225" t="s">
        <v>203</v>
      </c>
      <c r="J225" t="s">
        <v>232</v>
      </c>
      <c r="K225" t="s">
        <v>459</v>
      </c>
    </row>
    <row r="226" spans="1:11" hidden="1" x14ac:dyDescent="0.2">
      <c r="A226">
        <v>325</v>
      </c>
      <c r="B226" t="str">
        <f>A226&amp;G226</f>
        <v>325[Los Bronces - Riecillos] R2700 Gateway</v>
      </c>
      <c r="C226" s="5">
        <v>46002</v>
      </c>
      <c r="D226" t="s">
        <v>20</v>
      </c>
      <c r="E226" t="s">
        <v>256</v>
      </c>
      <c r="F226" t="s">
        <v>21</v>
      </c>
      <c r="G226" t="s">
        <v>44</v>
      </c>
      <c r="H226" t="s">
        <v>10</v>
      </c>
      <c r="I226" t="s">
        <v>203</v>
      </c>
      <c r="J226" t="s">
        <v>234</v>
      </c>
      <c r="K226" t="s">
        <v>460</v>
      </c>
    </row>
    <row r="227" spans="1:11" hidden="1" x14ac:dyDescent="0.2">
      <c r="A227">
        <v>326</v>
      </c>
      <c r="B227" t="str">
        <f>A227&amp;G227</f>
        <v>326[Gestión Hídrica El Soldado] Pozo El Melón N° 02 (PEM-02) Gateway A</v>
      </c>
      <c r="C227" s="5">
        <v>46002</v>
      </c>
      <c r="D227" t="s">
        <v>34</v>
      </c>
      <c r="E227" t="s">
        <v>209</v>
      </c>
      <c r="F227" t="s">
        <v>13</v>
      </c>
      <c r="G227" t="s">
        <v>68</v>
      </c>
      <c r="H227" t="s">
        <v>10</v>
      </c>
      <c r="I227" t="s">
        <v>60</v>
      </c>
      <c r="J227" t="s">
        <v>235</v>
      </c>
      <c r="K227" t="s">
        <v>461</v>
      </c>
    </row>
    <row r="228" spans="1:11" hidden="1" x14ac:dyDescent="0.2">
      <c r="A228">
        <v>330</v>
      </c>
      <c r="B228" t="str">
        <f>A228&amp;G228</f>
        <v>330[Los Bronces - Riecillos] R2700 Gateway</v>
      </c>
      <c r="C228" s="5">
        <v>46002</v>
      </c>
      <c r="D228" t="s">
        <v>43</v>
      </c>
      <c r="E228" t="s">
        <v>256</v>
      </c>
      <c r="F228" t="s">
        <v>21</v>
      </c>
      <c r="G228" t="s">
        <v>44</v>
      </c>
      <c r="H228" t="s">
        <v>10</v>
      </c>
      <c r="I228" t="s">
        <v>203</v>
      </c>
      <c r="J228" t="s">
        <v>237</v>
      </c>
      <c r="K228" t="s">
        <v>462</v>
      </c>
    </row>
    <row r="229" spans="1:11" hidden="1" x14ac:dyDescent="0.2">
      <c r="A229">
        <v>334</v>
      </c>
      <c r="B229" t="str">
        <f>A229&amp;G229</f>
        <v>334[Gestión Hídrica El Soldado] Pozos El Soldado Caseta el Melón</v>
      </c>
      <c r="C229" s="5">
        <v>46006</v>
      </c>
      <c r="D229" t="s">
        <v>20</v>
      </c>
      <c r="E229" t="s">
        <v>209</v>
      </c>
      <c r="F229" t="s">
        <v>13</v>
      </c>
      <c r="G229" t="s">
        <v>224</v>
      </c>
      <c r="H229" t="s">
        <v>10</v>
      </c>
      <c r="I229" t="s">
        <v>45</v>
      </c>
      <c r="J229" t="s">
        <v>238</v>
      </c>
      <c r="K229" t="s">
        <v>463</v>
      </c>
    </row>
    <row r="230" spans="1:11" hidden="1" x14ac:dyDescent="0.2">
      <c r="A230">
        <v>336</v>
      </c>
      <c r="B230" t="str">
        <f>A230&amp;G230</f>
        <v>336[Los Bronces - Riecillos] R2700 Gateway</v>
      </c>
      <c r="C230" s="5">
        <v>46007</v>
      </c>
      <c r="D230" t="s">
        <v>43</v>
      </c>
      <c r="E230" t="s">
        <v>256</v>
      </c>
      <c r="F230" t="s">
        <v>21</v>
      </c>
      <c r="G230" t="s">
        <v>44</v>
      </c>
      <c r="H230" t="s">
        <v>10</v>
      </c>
      <c r="I230" t="s">
        <v>203</v>
      </c>
      <c r="J230" t="s">
        <v>239</v>
      </c>
      <c r="K230" t="s">
        <v>464</v>
      </c>
    </row>
    <row r="231" spans="1:11" hidden="1" x14ac:dyDescent="0.2">
      <c r="A231">
        <v>340</v>
      </c>
      <c r="B231" t="str">
        <f>A231&amp;G231</f>
        <v>340[Los Bronces - Riecillos] R2700 Gateway</v>
      </c>
      <c r="C231" s="5">
        <v>46008</v>
      </c>
      <c r="D231" t="s">
        <v>43</v>
      </c>
      <c r="E231" t="s">
        <v>256</v>
      </c>
      <c r="F231" t="s">
        <v>21</v>
      </c>
      <c r="G231" t="s">
        <v>44</v>
      </c>
      <c r="H231" t="s">
        <v>10</v>
      </c>
      <c r="I231" t="s">
        <v>45</v>
      </c>
      <c r="J231" t="s">
        <v>243</v>
      </c>
      <c r="K231" t="s">
        <v>465</v>
      </c>
    </row>
    <row r="232" spans="1:11" hidden="1" x14ac:dyDescent="0.2">
      <c r="A232" s="3">
        <v>341</v>
      </c>
      <c r="B232" t="str">
        <f>A232&amp;G232</f>
        <v>341[Los Bronces - Riecillos] R2700 Gateway</v>
      </c>
      <c r="C232" s="5">
        <v>46009</v>
      </c>
      <c r="D232" s="3" t="s">
        <v>43</v>
      </c>
      <c r="E232" t="s">
        <v>256</v>
      </c>
      <c r="F232" s="3" t="s">
        <v>21</v>
      </c>
      <c r="G232" s="3" t="s">
        <v>44</v>
      </c>
      <c r="H232" s="3" t="s">
        <v>10</v>
      </c>
      <c r="I232" s="3" t="s">
        <v>45</v>
      </c>
      <c r="J232" s="3" t="s">
        <v>245</v>
      </c>
      <c r="K232" t="s">
        <v>466</v>
      </c>
    </row>
    <row r="233" spans="1:11" x14ac:dyDescent="0.2">
      <c r="A233">
        <v>342</v>
      </c>
      <c r="B233" t="str">
        <f>A233&amp;G233</f>
        <v>342[Gestión Hídrica El Soldado] Pozos El Soldado Caseta el Melón</v>
      </c>
      <c r="C233" s="5">
        <v>46010</v>
      </c>
      <c r="D233" t="s">
        <v>20</v>
      </c>
      <c r="E233" t="s">
        <v>209</v>
      </c>
      <c r="F233" t="s">
        <v>13</v>
      </c>
      <c r="G233" t="s">
        <v>224</v>
      </c>
      <c r="H233" t="s">
        <v>10</v>
      </c>
      <c r="I233" t="s">
        <v>11</v>
      </c>
      <c r="J233" t="s">
        <v>244</v>
      </c>
      <c r="K233" t="s">
        <v>467</v>
      </c>
    </row>
    <row r="234" spans="1:11" x14ac:dyDescent="0.2">
      <c r="A234">
        <v>342</v>
      </c>
      <c r="B234" t="str">
        <f>A234&amp;G234</f>
        <v>342[Gestión Hídrica El Soldado] Pozo Los Litres N° 04 (PLL-04) Nodo 169</v>
      </c>
      <c r="C234" s="5">
        <v>46010</v>
      </c>
      <c r="D234" t="s">
        <v>20</v>
      </c>
      <c r="E234" t="s">
        <v>209</v>
      </c>
      <c r="F234" t="s">
        <v>13</v>
      </c>
      <c r="G234" t="s">
        <v>55</v>
      </c>
      <c r="H234" t="s">
        <v>10</v>
      </c>
      <c r="I234" t="s">
        <v>11</v>
      </c>
      <c r="J234" t="s">
        <v>244</v>
      </c>
      <c r="K234" t="s">
        <v>468</v>
      </c>
    </row>
  </sheetData>
  <autoFilter ref="A1:K234" xr:uid="{00000000-0001-0000-0000-000000000000}">
    <filterColumn colId="1">
      <colorFilter dxfId="0"/>
    </filterColumn>
    <filterColumn colId="8">
      <filters>
        <filter val="MP"/>
      </filters>
    </filterColumn>
    <sortState xmlns:xlrd2="http://schemas.microsoft.com/office/spreadsheetml/2017/richdata2" ref="A2:K234">
      <sortCondition sortBy="cellColor" ref="B1:B234" dxfId="1"/>
    </sortState>
  </autoFilter>
  <conditionalFormatting sqref="B2:B234">
    <cfRule type="duplicateValues" dxfId="2"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116A-91F5-B54C-9044-0B3E733911E3}">
  <dimension ref="A2:N90"/>
  <sheetViews>
    <sheetView showGridLines="0" workbookViewId="0">
      <selection activeCell="E19" sqref="E19"/>
    </sheetView>
  </sheetViews>
  <sheetFormatPr baseColWidth="10" defaultRowHeight="15" x14ac:dyDescent="0.2"/>
  <cols>
    <col min="1" max="1" width="15.83203125" bestFit="1" customWidth="1"/>
    <col min="2" max="2" width="13.83203125" bestFit="1" customWidth="1"/>
    <col min="6" max="6" width="27.33203125" bestFit="1" customWidth="1"/>
    <col min="7" max="13" width="20.1640625" bestFit="1" customWidth="1"/>
    <col min="14" max="17" width="5" bestFit="1" customWidth="1"/>
    <col min="18" max="18" width="4.1640625" bestFit="1" customWidth="1"/>
    <col min="19" max="19" width="5.83203125" bestFit="1" customWidth="1"/>
    <col min="20" max="20" width="4.83203125" bestFit="1" customWidth="1"/>
    <col min="21" max="21" width="7.33203125" bestFit="1" customWidth="1"/>
    <col min="22" max="26" width="5.33203125" bestFit="1" customWidth="1"/>
    <col min="27" max="27" width="7.83203125" bestFit="1" customWidth="1"/>
    <col min="28" max="29" width="4.83203125" bestFit="1" customWidth="1"/>
    <col min="30" max="30" width="7.33203125" bestFit="1" customWidth="1"/>
    <col min="31" max="31" width="5" bestFit="1" customWidth="1"/>
  </cols>
  <sheetData>
    <row r="2" spans="1:14" x14ac:dyDescent="0.2">
      <c r="F2" s="33"/>
      <c r="G2" s="33"/>
      <c r="H2" s="33"/>
      <c r="I2" s="33"/>
      <c r="J2" s="33"/>
      <c r="K2" s="33"/>
      <c r="L2" s="33"/>
      <c r="M2" s="33"/>
      <c r="N2" s="33"/>
    </row>
    <row r="3" spans="1:14" x14ac:dyDescent="0.2">
      <c r="A3" s="6" t="s">
        <v>247</v>
      </c>
      <c r="B3" t="s">
        <v>249</v>
      </c>
      <c r="F3" s="8" t="s">
        <v>251</v>
      </c>
      <c r="G3" s="8" t="s">
        <v>5</v>
      </c>
      <c r="H3" s="9"/>
      <c r="I3" s="9"/>
      <c r="J3" s="9"/>
      <c r="K3" s="9"/>
      <c r="L3" s="9"/>
      <c r="M3" s="9"/>
      <c r="N3" s="9"/>
    </row>
    <row r="4" spans="1:14" ht="16" thickBot="1" x14ac:dyDescent="0.25">
      <c r="A4" s="7" t="s">
        <v>15</v>
      </c>
      <c r="B4" s="20">
        <v>27</v>
      </c>
      <c r="F4" s="22" t="s">
        <v>253</v>
      </c>
      <c r="G4" s="9" t="s">
        <v>203</v>
      </c>
      <c r="H4" s="9" t="s">
        <v>28</v>
      </c>
      <c r="I4" s="9" t="s">
        <v>45</v>
      </c>
      <c r="J4" s="9" t="s">
        <v>60</v>
      </c>
      <c r="K4" s="9" t="s">
        <v>25</v>
      </c>
      <c r="L4" s="9" t="s">
        <v>11</v>
      </c>
      <c r="M4" s="9" t="s">
        <v>15</v>
      </c>
      <c r="N4" s="10" t="s">
        <v>252</v>
      </c>
    </row>
    <row r="5" spans="1:14" x14ac:dyDescent="0.2">
      <c r="A5" s="7" t="s">
        <v>11</v>
      </c>
      <c r="B5" s="20">
        <v>89</v>
      </c>
      <c r="F5" s="23" t="s">
        <v>209</v>
      </c>
      <c r="G5" s="24">
        <v>3</v>
      </c>
      <c r="H5" s="24">
        <v>12</v>
      </c>
      <c r="I5" s="24">
        <v>14</v>
      </c>
      <c r="J5" s="24">
        <v>20</v>
      </c>
      <c r="K5" s="24">
        <v>5</v>
      </c>
      <c r="L5" s="24">
        <v>88</v>
      </c>
      <c r="M5" s="24">
        <v>20</v>
      </c>
      <c r="N5" s="25">
        <v>162</v>
      </c>
    </row>
    <row r="6" spans="1:14" x14ac:dyDescent="0.2">
      <c r="A6" s="7" t="s">
        <v>25</v>
      </c>
      <c r="B6" s="20">
        <v>32</v>
      </c>
      <c r="F6" s="26" t="s">
        <v>256</v>
      </c>
      <c r="G6" s="27">
        <v>3</v>
      </c>
      <c r="H6" s="27">
        <v>9</v>
      </c>
      <c r="I6" s="27">
        <v>6</v>
      </c>
      <c r="J6" s="27"/>
      <c r="K6" s="27">
        <v>10</v>
      </c>
      <c r="L6" s="27">
        <v>1</v>
      </c>
      <c r="M6" s="27">
        <v>3</v>
      </c>
      <c r="N6" s="28">
        <v>32</v>
      </c>
    </row>
    <row r="7" spans="1:14" x14ac:dyDescent="0.2">
      <c r="A7" s="7" t="s">
        <v>60</v>
      </c>
      <c r="B7" s="20">
        <v>21</v>
      </c>
      <c r="F7" s="29" t="s">
        <v>254</v>
      </c>
      <c r="G7" s="30"/>
      <c r="H7" s="30">
        <v>3</v>
      </c>
      <c r="I7" s="30">
        <v>9</v>
      </c>
      <c r="J7" s="30">
        <v>1</v>
      </c>
      <c r="K7" s="30">
        <v>7</v>
      </c>
      <c r="L7" s="30"/>
      <c r="M7" s="30">
        <v>2</v>
      </c>
      <c r="N7" s="31">
        <v>22</v>
      </c>
    </row>
    <row r="8" spans="1:14" x14ac:dyDescent="0.2">
      <c r="A8" s="7" t="s">
        <v>45</v>
      </c>
      <c r="B8" s="20">
        <v>30</v>
      </c>
      <c r="F8" s="10" t="s">
        <v>259</v>
      </c>
      <c r="G8" s="12"/>
      <c r="H8" s="12"/>
      <c r="I8" s="12"/>
      <c r="J8" s="12"/>
      <c r="K8" s="12">
        <v>1</v>
      </c>
      <c r="L8" s="12"/>
      <c r="M8" s="12"/>
      <c r="N8" s="16">
        <v>1</v>
      </c>
    </row>
    <row r="9" spans="1:14" x14ac:dyDescent="0.2">
      <c r="A9" s="7" t="s">
        <v>28</v>
      </c>
      <c r="B9" s="20">
        <v>27</v>
      </c>
      <c r="F9" s="10" t="s">
        <v>257</v>
      </c>
      <c r="G9" s="12"/>
      <c r="H9" s="12"/>
      <c r="I9" s="12"/>
      <c r="J9" s="12"/>
      <c r="K9" s="12">
        <v>1</v>
      </c>
      <c r="L9" s="12"/>
      <c r="M9" s="12"/>
      <c r="N9" s="16">
        <v>1</v>
      </c>
    </row>
    <row r="10" spans="1:14" x14ac:dyDescent="0.2">
      <c r="A10" s="7" t="s">
        <v>203</v>
      </c>
      <c r="B10" s="20">
        <v>7</v>
      </c>
      <c r="F10" s="10" t="s">
        <v>261</v>
      </c>
      <c r="G10" s="12"/>
      <c r="H10" s="12"/>
      <c r="I10" s="12"/>
      <c r="J10" s="12"/>
      <c r="K10" s="12">
        <v>1</v>
      </c>
      <c r="L10" s="12"/>
      <c r="M10" s="12"/>
      <c r="N10" s="16">
        <v>1</v>
      </c>
    </row>
    <row r="11" spans="1:14" x14ac:dyDescent="0.2">
      <c r="A11" s="7" t="s">
        <v>248</v>
      </c>
      <c r="B11" s="20">
        <v>233</v>
      </c>
      <c r="F11" s="10" t="s">
        <v>260</v>
      </c>
      <c r="G11" s="12"/>
      <c r="H11" s="12"/>
      <c r="I11" s="12"/>
      <c r="J11" s="12"/>
      <c r="K11" s="12">
        <v>1</v>
      </c>
      <c r="L11" s="12"/>
      <c r="M11" s="12"/>
      <c r="N11" s="16">
        <v>1</v>
      </c>
    </row>
    <row r="12" spans="1:14" x14ac:dyDescent="0.2">
      <c r="F12" s="10" t="s">
        <v>258</v>
      </c>
      <c r="G12" s="12"/>
      <c r="H12" s="12">
        <v>1</v>
      </c>
      <c r="I12" s="12"/>
      <c r="J12" s="12"/>
      <c r="K12" s="12">
        <v>1</v>
      </c>
      <c r="L12" s="12"/>
      <c r="M12" s="12">
        <v>2</v>
      </c>
      <c r="N12" s="16">
        <v>4</v>
      </c>
    </row>
    <row r="13" spans="1:14" x14ac:dyDescent="0.2">
      <c r="F13" s="10" t="s">
        <v>255</v>
      </c>
      <c r="G13" s="12"/>
      <c r="H13" s="12">
        <v>1</v>
      </c>
      <c r="I13" s="12"/>
      <c r="J13" s="12"/>
      <c r="K13" s="12">
        <v>2</v>
      </c>
      <c r="L13" s="12"/>
      <c r="M13" s="12"/>
      <c r="N13" s="16">
        <v>3</v>
      </c>
    </row>
    <row r="14" spans="1:14" x14ac:dyDescent="0.2">
      <c r="F14" s="10" t="s">
        <v>146</v>
      </c>
      <c r="G14" s="12"/>
      <c r="H14" s="12">
        <v>1</v>
      </c>
      <c r="I14" s="12">
        <v>1</v>
      </c>
      <c r="J14" s="12"/>
      <c r="K14" s="12">
        <v>1</v>
      </c>
      <c r="L14" s="12"/>
      <c r="M14" s="12"/>
      <c r="N14" s="16">
        <v>3</v>
      </c>
    </row>
    <row r="15" spans="1:14" x14ac:dyDescent="0.2">
      <c r="F15" s="10" t="s">
        <v>171</v>
      </c>
      <c r="G15" s="12"/>
      <c r="H15" s="12"/>
      <c r="I15" s="12"/>
      <c r="J15" s="12"/>
      <c r="K15" s="12">
        <v>2</v>
      </c>
      <c r="L15" s="12"/>
      <c r="M15" s="12"/>
      <c r="N15" s="16">
        <v>2</v>
      </c>
    </row>
    <row r="16" spans="1:14" ht="16" thickBot="1" x14ac:dyDescent="0.25">
      <c r="F16" s="10" t="s">
        <v>262</v>
      </c>
      <c r="G16" s="12">
        <v>1</v>
      </c>
      <c r="H16" s="12"/>
      <c r="I16" s="12"/>
      <c r="J16" s="12"/>
      <c r="K16" s="12"/>
      <c r="L16" s="12"/>
      <c r="M16" s="12"/>
      <c r="N16" s="16">
        <v>1</v>
      </c>
    </row>
    <row r="17" spans="6:14" ht="16" thickBot="1" x14ac:dyDescent="0.25">
      <c r="F17" s="21" t="s">
        <v>252</v>
      </c>
      <c r="G17" s="14">
        <v>7</v>
      </c>
      <c r="H17" s="15">
        <v>27</v>
      </c>
      <c r="I17" s="15">
        <v>30</v>
      </c>
      <c r="J17" s="15">
        <v>21</v>
      </c>
      <c r="K17" s="15">
        <v>32</v>
      </c>
      <c r="L17" s="15">
        <v>89</v>
      </c>
      <c r="M17" s="15">
        <v>27</v>
      </c>
      <c r="N17" s="18">
        <v>233</v>
      </c>
    </row>
    <row r="22" spans="6:14" x14ac:dyDescent="0.2">
      <c r="F22" s="8" t="s">
        <v>251</v>
      </c>
      <c r="G22" s="8" t="s">
        <v>5</v>
      </c>
      <c r="H22" s="9"/>
      <c r="I22" s="9"/>
      <c r="J22" s="9"/>
      <c r="K22" s="9"/>
      <c r="L22" s="9"/>
      <c r="M22" s="9"/>
      <c r="N22" s="9"/>
    </row>
    <row r="23" spans="6:14" ht="16" thickBot="1" x14ac:dyDescent="0.25">
      <c r="F23" s="8" t="s">
        <v>1</v>
      </c>
      <c r="G23" s="9" t="s">
        <v>203</v>
      </c>
      <c r="H23" s="9" t="s">
        <v>28</v>
      </c>
      <c r="I23" s="9" t="s">
        <v>45</v>
      </c>
      <c r="J23" s="9" t="s">
        <v>60</v>
      </c>
      <c r="K23" s="9" t="s">
        <v>25</v>
      </c>
      <c r="L23" s="9" t="s">
        <v>11</v>
      </c>
      <c r="M23" s="9" t="s">
        <v>15</v>
      </c>
      <c r="N23" s="10" t="s">
        <v>252</v>
      </c>
    </row>
    <row r="24" spans="6:14" x14ac:dyDescent="0.2">
      <c r="F24" s="10" t="s">
        <v>47</v>
      </c>
      <c r="G24" s="12"/>
      <c r="H24" s="12"/>
      <c r="I24" s="12">
        <v>6</v>
      </c>
      <c r="J24" s="12"/>
      <c r="K24" s="12">
        <v>7</v>
      </c>
      <c r="L24" s="12"/>
      <c r="M24" s="12"/>
      <c r="N24" s="19">
        <v>13</v>
      </c>
    </row>
    <row r="25" spans="6:14" x14ac:dyDescent="0.2">
      <c r="F25" s="11" t="s">
        <v>43</v>
      </c>
      <c r="G25" s="13">
        <v>1</v>
      </c>
      <c r="H25" s="13">
        <v>8</v>
      </c>
      <c r="I25" s="13">
        <v>6</v>
      </c>
      <c r="J25" s="13"/>
      <c r="K25" s="13">
        <v>11</v>
      </c>
      <c r="L25" s="13"/>
      <c r="M25" s="13">
        <v>3</v>
      </c>
      <c r="N25" s="17">
        <v>29</v>
      </c>
    </row>
    <row r="26" spans="6:14" x14ac:dyDescent="0.2">
      <c r="F26" s="10" t="s">
        <v>107</v>
      </c>
      <c r="G26" s="12"/>
      <c r="H26" s="12">
        <v>1</v>
      </c>
      <c r="I26" s="12"/>
      <c r="J26" s="12"/>
      <c r="K26" s="12">
        <v>7</v>
      </c>
      <c r="L26" s="12"/>
      <c r="M26" s="12">
        <v>1</v>
      </c>
      <c r="N26" s="16">
        <v>9</v>
      </c>
    </row>
    <row r="27" spans="6:14" x14ac:dyDescent="0.2">
      <c r="F27" s="10" t="s">
        <v>34</v>
      </c>
      <c r="G27" s="12">
        <v>2</v>
      </c>
      <c r="H27" s="12">
        <v>2</v>
      </c>
      <c r="I27" s="12"/>
      <c r="J27" s="12">
        <v>3</v>
      </c>
      <c r="K27" s="12">
        <v>1</v>
      </c>
      <c r="L27" s="12">
        <v>2</v>
      </c>
      <c r="M27" s="12">
        <v>13</v>
      </c>
      <c r="N27" s="16">
        <v>23</v>
      </c>
    </row>
    <row r="28" spans="6:14" x14ac:dyDescent="0.2">
      <c r="F28" s="11" t="s">
        <v>20</v>
      </c>
      <c r="G28" s="13">
        <v>3</v>
      </c>
      <c r="H28" s="13">
        <v>14</v>
      </c>
      <c r="I28" s="13">
        <v>7</v>
      </c>
      <c r="J28" s="13">
        <v>5</v>
      </c>
      <c r="K28" s="13">
        <v>3</v>
      </c>
      <c r="L28" s="13">
        <v>18</v>
      </c>
      <c r="M28" s="13">
        <v>3</v>
      </c>
      <c r="N28" s="17">
        <v>53</v>
      </c>
    </row>
    <row r="29" spans="6:14" x14ac:dyDescent="0.2">
      <c r="F29" s="10" t="s">
        <v>205</v>
      </c>
      <c r="G29" s="12"/>
      <c r="H29" s="12">
        <v>2</v>
      </c>
      <c r="I29" s="12">
        <v>1</v>
      </c>
      <c r="J29" s="12"/>
      <c r="K29" s="12"/>
      <c r="L29" s="12"/>
      <c r="M29" s="12"/>
      <c r="N29" s="16">
        <v>3</v>
      </c>
    </row>
    <row r="30" spans="6:14" x14ac:dyDescent="0.2">
      <c r="F30" s="10" t="s">
        <v>118</v>
      </c>
      <c r="G30" s="12"/>
      <c r="H30" s="12"/>
      <c r="I30" s="12">
        <v>4</v>
      </c>
      <c r="J30" s="12"/>
      <c r="K30" s="12"/>
      <c r="L30" s="12"/>
      <c r="M30" s="12">
        <v>2</v>
      </c>
      <c r="N30" s="16">
        <v>6</v>
      </c>
    </row>
    <row r="31" spans="6:14" x14ac:dyDescent="0.2">
      <c r="F31" s="23" t="s">
        <v>7</v>
      </c>
      <c r="G31" s="24">
        <v>1</v>
      </c>
      <c r="H31" s="24"/>
      <c r="I31" s="24">
        <v>6</v>
      </c>
      <c r="J31" s="24">
        <v>13</v>
      </c>
      <c r="K31" s="24">
        <v>1</v>
      </c>
      <c r="L31" s="24">
        <v>69</v>
      </c>
      <c r="M31" s="24">
        <v>5</v>
      </c>
      <c r="N31" s="32">
        <v>95</v>
      </c>
    </row>
    <row r="32" spans="6:14" x14ac:dyDescent="0.2">
      <c r="F32" s="10" t="s">
        <v>204</v>
      </c>
      <c r="G32" s="12"/>
      <c r="H32" s="12"/>
      <c r="I32" s="12"/>
      <c r="J32" s="12"/>
      <c r="K32" s="12">
        <v>1</v>
      </c>
      <c r="L32" s="12"/>
      <c r="M32" s="12"/>
      <c r="N32" s="16">
        <v>1</v>
      </c>
    </row>
    <row r="33" spans="6:14" ht="16" thickBot="1" x14ac:dyDescent="0.25">
      <c r="F33" s="10" t="s">
        <v>167</v>
      </c>
      <c r="G33" s="12"/>
      <c r="H33" s="12"/>
      <c r="I33" s="12"/>
      <c r="J33" s="12"/>
      <c r="K33" s="12">
        <v>1</v>
      </c>
      <c r="L33" s="12"/>
      <c r="M33" s="12"/>
      <c r="N33" s="16">
        <v>1</v>
      </c>
    </row>
    <row r="34" spans="6:14" ht="16" thickBot="1" x14ac:dyDescent="0.25">
      <c r="F34" s="21" t="s">
        <v>252</v>
      </c>
      <c r="G34" s="14">
        <v>7</v>
      </c>
      <c r="H34" s="15">
        <v>27</v>
      </c>
      <c r="I34" s="15">
        <v>30</v>
      </c>
      <c r="J34" s="15">
        <v>21</v>
      </c>
      <c r="K34" s="15">
        <v>32</v>
      </c>
      <c r="L34" s="15">
        <v>89</v>
      </c>
      <c r="M34" s="15">
        <v>27</v>
      </c>
      <c r="N34" s="18">
        <v>233</v>
      </c>
    </row>
    <row r="58" ht="16" thickBot="1" x14ac:dyDescent="0.25"/>
    <row r="59" ht="16" thickBot="1" x14ac:dyDescent="0.25"/>
    <row r="89" ht="16" thickBot="1" x14ac:dyDescent="0.25"/>
    <row r="90" ht="16" thickBo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8775-8599-6549-942C-779A0A88231E}">
  <dimension ref="A1"/>
  <sheetViews>
    <sheetView tabSelected="1" workbookViewId="0">
      <selection activeCell="F15" sqref="F15"/>
    </sheetView>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reclasifiación ST</vt:lpstr>
      <vt:lpstr>Resumen</vt:lpstr>
      <vt:lpstr>Definiciones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Cuero</cp:lastModifiedBy>
  <dcterms:created xsi:type="dcterms:W3CDTF">2025-12-01T17:45:31Z</dcterms:created>
  <dcterms:modified xsi:type="dcterms:W3CDTF">2025-12-30T18:22:37Z</dcterms:modified>
</cp:coreProperties>
</file>