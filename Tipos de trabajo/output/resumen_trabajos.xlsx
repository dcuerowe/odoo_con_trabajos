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53CA0732-4EDE-CB45-8775-B109E42FF772}" xr6:coauthVersionLast="47" xr6:coauthVersionMax="47" xr10:uidLastSave="{00000000-0000-0000-0000-000000000000}"/>
  <bookViews>
    <workbookView xWindow="0" yWindow="600" windowWidth="33600" windowHeight="19320" activeTab="1" xr2:uid="{00000000-000D-0000-FFFF-FFFF00000000}"/>
  </bookViews>
  <sheets>
    <sheet name="Hoja1" sheetId="3" r:id="rId1"/>
    <sheet name="trabajos" sheetId="1" r:id="rId2"/>
    <sheet name="Resumen" sheetId="2" r:id="rId3"/>
  </sheets>
  <definedNames>
    <definedName name="_xlnm._FilterDatabase" localSheetId="1" hidden="1">trabajos!#REF!</definedName>
  </definedNames>
  <calcPr calcId="191029"/>
  <pivotCaches>
    <pivotCache cacheId="35" r:id="rId4"/>
    <pivotCache cacheId="36"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1" l="1"/>
</calcChain>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<sst xmlns="http://schemas.openxmlformats.org/spreadsheetml/2006/main" count="5082" uniqueCount="1320">
  <si>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</si>
  <si>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</si>
  <si>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</si>
  <si>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</si>
  <si>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</si>
  <si>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</si>
  <si>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</si>
  <si>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</si>
  <si>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</si>
  <si>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</si>
  <si>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</si>
  <si>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</si>
  <si>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</si>
  <si>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</si>
  <si>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</si>
  <si>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</si>
  <si>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</si>
  <si>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</si>
  <si>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</si>
  <si>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</si>
  <si>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</si>
  <si>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</si>
  <si>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</si>
  <si>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</si>
  <si>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</si>
  <si>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</si>
  <si>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</si>
  <si>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</si>
  <si>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</si>
  <si>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</si>
  <si>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</si>
  <si>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</si>
  <si>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</si>
  <si>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</si>
  <si>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</si>
  <si>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</si>
  <si>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</si>
  <si>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</si>
  <si>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</si>
  <si>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</si>
  <si>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</si>
  <si>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</si>
  <si>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</si>
  <si>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</si>
  <si>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</si>
  <si>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</si>
  <si>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</si>
  <si>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</si>
  <si>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</si>
  <si>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</si>
  <si>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</si>
  <si>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</si>
  <si>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</si>
  <si>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</si>
  <si>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</si>
  <si>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</si>
  <si>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</si>
  <si>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</si>
  <si>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</si>
  <si>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</si>
  <si>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</si>
  <si>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</si>
  <si>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Global Tórtolas</t>
  </si>
  <si>
    <t>[Global Tórtolas] Pozo O4B</t>
  </si>
  <si>
    <t>Patricio Cortez</t>
  </si>
  <si>
    <t xml:space="preserve">Cristopher Iglesias </t>
  </si>
  <si>
    <t>Los Bronces - Riecillos</t>
  </si>
  <si>
    <t>[Los Bronces - Riecillos] R3050 Caudalimetro C</t>
  </si>
  <si>
    <t>Paula Riquelme</t>
  </si>
  <si>
    <t>[Los Bronces - Riecillos] R3050 Caudalimetro A</t>
  </si>
  <si>
    <t>[Los Bronces - Riecillos] R3050 Caudalimetro E</t>
  </si>
  <si>
    <t>[Los Bronces - Riecillos] R3050 Gateway</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</si>
  <si>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</si>
  <si>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</si>
  <si>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</si>
  <si>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</si>
  <si>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</si>
  <si>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</si>
  <si>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</si>
  <si>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</si>
  <si>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</si>
  <si>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</si>
  <si>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</si>
  <si>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</si>
  <si>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</si>
  <si>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</si>
  <si>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</si>
  <si>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</si>
  <si>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</si>
  <si>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</si>
  <si>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</si>
  <si>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</si>
  <si>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</si>
  <si>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</si>
  <si>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</si>
  <si>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</si>
  <si>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</si>
  <si>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</si>
  <si>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</si>
  <si>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</si>
  <si>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</si>
  <si>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</si>
  <si>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</si>
  <si>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</si>
  <si>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</si>
  <si>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</si>
  <si>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</si>
  <si>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</si>
  <si>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</si>
  <si>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</si>
  <si>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</si>
  <si>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</si>
  <si>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</si>
  <si>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</si>
  <si>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</si>
  <si>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</si>
  <si>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</si>
  <si>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</si>
  <si>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</si>
  <si>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</si>
  <si>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</si>
  <si>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</si>
  <si>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</si>
  <si>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</si>
  <si>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</si>
  <si>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</si>
  <si>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</si>
  <si>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</si>
  <si>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</si>
  <si>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</si>
  <si>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</si>
  <si>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</si>
  <si>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</si>
  <si>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</si>
  <si>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</si>
  <si>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</si>
  <si>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</si>
  <si>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</si>
  <si>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</si>
  <si>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</si>
  <si>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</si>
  <si>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</si>
  <si>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</si>
  <si>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</si>
  <si>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</si>
  <si>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</si>
  <si>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</si>
  <si>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</si>
  <si>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</si>
  <si>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</si>
  <si>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</si>
  <si>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</si>
  <si>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</si>
  <si>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</si>
  <si>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</si>
  <si>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</si>
  <si>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</si>
  <si>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</si>
  <si>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</si>
  <si>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</si>
  <si>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</si>
  <si>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</si>
  <si>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</si>
  <si>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</si>
  <si>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</si>
  <si>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</si>
  <si>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</si>
  <si>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</si>
  <si>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</si>
  <si>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</si>
  <si>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</si>
  <si>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</si>
  <si>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</si>
  <si>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</si>
  <si>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</si>
  <si>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</si>
  <si>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</si>
  <si>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</si>
  <si>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</si>
  <si>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</si>
  <si>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</si>
  <si>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</si>
  <si>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</si>
  <si>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</si>
  <si>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</si>
  <si>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</si>
  <si>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</si>
  <si>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</si>
  <si>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</si>
  <si>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</si>
  <si>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</si>
  <si>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</si>
  <si>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</si>
  <si>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</si>
  <si>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</si>
  <si>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</si>
  <si>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</si>
  <si>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</si>
  <si>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</si>
  <si>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</si>
  <si>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</si>
  <si>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</si>
  <si>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</si>
  <si>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</si>
  <si>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</si>
  <si>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</si>
  <si>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</si>
  <si>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</si>
  <si>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</si>
  <si>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</si>
  <si>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</si>
  <si>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</si>
  <si>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</si>
  <si>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</si>
  <si>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</si>
  <si>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</si>
  <si>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</si>
  <si>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</si>
  <si>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</si>
  <si>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</si>
  <si>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</si>
  <si>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</si>
  <si>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</si>
  <si>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</si>
  <si>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</si>
  <si>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</si>
  <si>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</si>
  <si>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</si>
  <si>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</si>
  <si>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</si>
  <si>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</si>
  <si>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</si>
  <si>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</si>
  <si>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</si>
  <si>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</si>
  <si>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</si>
  <si>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</si>
  <si>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</si>
  <si>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</si>
  <si>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</si>
  <si>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</si>
  <si>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</si>
  <si>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</si>
  <si>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</si>
  <si>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</si>
  <si>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</si>
  <si>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</si>
  <si>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</si>
  <si>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</si>
  <si>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</si>
  <si>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</si>
  <si>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</si>
  <si>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</si>
  <si>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</si>
  <si>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</si>
  <si>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</si>
  <si>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</si>
  <si>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</si>
  <si>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</si>
  <si>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</si>
  <si>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</si>
  <si>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</si>
  <si>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</si>
  <si>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</si>
  <si>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</si>
  <si>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</si>
  <si>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</si>
  <si>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</si>
  <si>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</si>
  <si>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</si>
  <si>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</si>
  <si>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</si>
  <si>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</si>
  <si>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</si>
  <si>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</si>
  <si>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</si>
  <si>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</si>
  <si>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</si>
  <si>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</si>
  <si>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</si>
  <si>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</si>
  <si>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</si>
  <si>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</si>
  <si>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</si>
  <si>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</si>
  <si>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</si>
  <si>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</si>
  <si>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</si>
  <si>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</si>
  <si>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</si>
  <si>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</si>
  <si>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</si>
  <si>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</si>
  <si>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</si>
  <si>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</si>
  <si>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</si>
  <si>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</si>
  <si>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</si>
  <si>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</si>
  <si>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</si>
  <si>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</si>
  <si>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</si>
  <si>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</si>
  <si>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</si>
  <si>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</si>
  <si>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</si>
  <si>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</si>
  <si>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</si>
  <si>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</si>
  <si>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</si>
  <si>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</si>
  <si>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</si>
  <si>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</si>
  <si>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</si>
  <si>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</si>
  <si>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</si>
  <si>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</si>
  <si>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</si>
  <si>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</si>
  <si>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</si>
  <si>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</si>
  <si>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</si>
  <si>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</si>
  <si>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</si>
  <si>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</si>
  <si>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</si>
  <si>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</si>
  <si>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</si>
  <si>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</si>
  <si>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</si>
  <si>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</si>
  <si>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</si>
  <si>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</si>
  <si>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</si>
  <si>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</si>
  <si>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</si>
  <si>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</si>
  <si>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</si>
  <si>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</si>
  <si>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</si>
  <si>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</si>
  <si>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</si>
  <si>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</si>
  <si>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</si>
  <si>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</si>
  <si>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</si>
  <si>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</si>
  <si>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</si>
  <si>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</si>
  <si>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</si>
  <si>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</si>
  <si>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</si>
  <si>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</si>
  <si>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</si>
  <si>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</si>
  <si>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</si>
  <si>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</si>
  <si>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</si>
  <si>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</si>
  <si>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</si>
  <si>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</si>
  <si>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</si>
  <si>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</si>
  <si>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</si>
  <si>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</si>
  <si>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</si>
  <si>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</si>
  <si>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</si>
  <si>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</si>
  <si>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</si>
  <si>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</si>
  <si>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</si>
  <si>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</si>
  <si>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</si>
  <si>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</si>
  <si>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</si>
  <si>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</si>
  <si>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</si>
  <si>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</si>
  <si>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</si>
  <si>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</si>
  <si>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</si>
  <si>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</si>
  <si>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</si>
  <si>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</si>
  <si>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</si>
  <si>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</si>
  <si>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</si>
  <si>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</si>
  <si>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</si>
  <si>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</si>
  <si>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</si>
  <si>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</si>
  <si>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</si>
  <si>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</si>
  <si>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</si>
  <si>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</si>
  <si>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</si>
  <si>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</si>
  <si>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</si>
  <si>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</si>
  <si>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</si>
  <si>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</si>
  <si>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</si>
  <si>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</si>
  <si>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</si>
  <si>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</si>
  <si>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</si>
  <si>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</si>
  <si>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</si>
  <si>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</si>
  <si>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</si>
  <si>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</si>
  <si>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</si>
  <si>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</si>
  <si>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</si>
  <si>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</si>
  <si>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</si>
  <si>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</si>
  <si>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</si>
  <si>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</si>
  <si>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</si>
  <si>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</si>
  <si>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</si>
  <si>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</si>
  <si>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</si>
  <si>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</si>
  <si>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</si>
  <si>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</si>
  <si>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</si>
  <si>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</si>
  <si>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</si>
  <si>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</si>
  <si>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</si>
  <si>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</si>
  <si>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</si>
  <si>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</si>
  <si>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</si>
  <si>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</si>
  <si>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</si>
  <si>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</si>
  <si>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</si>
  <si>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</si>
  <si>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</si>
  <si>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</si>
  <si>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</si>
  <si>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</si>
  <si>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</si>
  <si>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</si>
  <si>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</si>
  <si>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</si>
  <si>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</si>
  <si>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</si>
  <si>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</si>
  <si>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</si>
  <si>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</si>
  <si>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</si>
  <si>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</si>
  <si>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</si>
  <si>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</si>
  <si>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</si>
  <si>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</si>
  <si>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</si>
  <si>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</si>
  <si>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</si>
  <si>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</si>
  <si>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</si>
  <si>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</si>
  <si>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</si>
  <si>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</si>
  <si>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</si>
  <si>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</si>
  <si>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</si>
  <si>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</si>
  <si>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</si>
  <si>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</si>
  <si>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</si>
  <si>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</si>
  <si>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</si>
  <si>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</si>
  <si>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</si>
  <si>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</si>
  <si>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</si>
  <si>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</si>
  <si>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</si>
  <si>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</si>
  <si>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</si>
  <si>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</si>
  <si>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</si>
  <si>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</si>
  <si>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</si>
  <si>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</si>
  <si>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</si>
  <si>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</si>
  <si>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</si>
  <si>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</si>
  <si>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</si>
  <si>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</si>
  <si>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</si>
  <si>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</si>
  <si>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</si>
  <si>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</si>
  <si>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</si>
  <si>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</si>
  <si>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</si>
  <si>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</si>
  <si>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</si>
  <si>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</si>
  <si>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</si>
  <si>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</si>
  <si>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</si>
  <si>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</si>
  <si>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</si>
  <si>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</si>
  <si>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</si>
  <si>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</si>
  <si>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</si>
  <si>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</si>
  <si>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</si>
  <si>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</si>
  <si>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</si>
  <si>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</si>
  <si>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</si>
  <si>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</si>
  <si>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</si>
  <si>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</si>
  <si>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</si>
  <si>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</si>
  <si>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</si>
  <si>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</si>
  <si>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</si>
  <si>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</si>
  <si>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</si>
  <si>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</si>
  <si>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</si>
  <si>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</si>
  <si>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</si>
  <si>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</si>
  <si>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</si>
  <si>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</si>
  <si>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</si>
  <si>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</si>
  <si>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</si>
  <si>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</si>
  <si>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</si>
  <si>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</si>
  <si>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</si>
  <si>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</si>
  <si>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</si>
  <si>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</si>
  <si>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</si>
  <si>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</si>
  <si>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</si>
  <si>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</si>
  <si>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</si>
  <si>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</si>
  <si>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</si>
  <si>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</si>
  <si>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</si>
  <si>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</si>
  <si>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</si>
  <si>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</si>
  <si>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</si>
  <si>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</si>
  <si>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</si>
  <si>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</si>
  <si>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</si>
  <si>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</si>
  <si>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</si>
  <si>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</si>
  <si>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</si>
  <si>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</si>
  <si>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</si>
  <si>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</si>
  <si>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</si>
  <si>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</si>
  <si>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</si>
  <si>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</si>
  <si>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</si>
  <si>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</si>
  <si>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</si>
  <si>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</si>
  <si>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</si>
  <si>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</si>
  <si>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</si>
  <si>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</si>
  <si>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</si>
  <si>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</si>
  <si>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</si>
  <si>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</si>
  <si>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</si>
  <si>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</si>
  <si>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</si>
  <si>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</si>
  <si>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</si>
  <si>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</si>
  <si>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</si>
  <si>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</si>
  <si>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</si>
  <si>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</si>
  <si>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</si>
  <si>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</si>
  <si>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</si>
  <si>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</si>
  <si>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</si>
  <si>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</si>
  <si>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</si>
  <si>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</si>
  <si>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</si>
  <si>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</si>
  <si>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</si>
  <si>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</si>
  <si>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</si>
  <si>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</si>
  <si>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</si>
  <si>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</si>
  <si>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</si>
  <si>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</si>
  <si>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</si>
  <si>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</si>
  <si>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</si>
  <si>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</si>
  <si>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</si>
  <si>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</si>
  <si>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</si>
  <si>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</si>
  <si>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</si>
  <si>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</si>
  <si>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</si>
  <si>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</si>
  <si>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</si>
  <si>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</si>
  <si>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</si>
  <si>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</si>
  <si>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</si>
  <si>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</si>
  <si>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</si>
  <si>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</si>
  <si>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</si>
  <si>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</si>
  <si>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</si>
  <si>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</si>
  <si>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</si>
  <si>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</si>
  <si>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</si>
  <si>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</si>
  <si>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</si>
  <si>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</si>
  <si>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</si>
  <si>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</si>
  <si>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</si>
  <si>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</si>
  <si>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</si>
  <si>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</si>
  <si>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</si>
  <si>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</si>
  <si>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</si>
  <si>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</si>
  <si>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</si>
  <si>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</si>
  <si>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</si>
  <si>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</si>
  <si>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</si>
  <si>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</si>
  <si>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</si>
  <si>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</si>
  <si>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</si>
  <si>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</si>
  <si>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</si>
  <si>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</si>
  <si>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</si>
  <si>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</si>
  <si>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</si>
  <si>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</si>
  <si>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</si>
  <si>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</si>
  <si>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</si>
  <si>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</si>
  <si>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</si>
  <si>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</si>
  <si>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</si>
  <si>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</si>
  <si>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</si>
  <si>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</si>
  <si>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</si>
  <si>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</si>
  <si>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</si>
  <si>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</si>
  <si>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</si>
  <si>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</si>
  <si>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</si>
  <si>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</si>
  <si>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</si>
  <si>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</si>
  <si>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</si>
  <si>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</si>
  <si>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</si>
  <si>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</si>
  <si>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</si>
  <si>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</si>
  <si>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</si>
  <si>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</si>
  <si>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</si>
  <si>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</si>
  <si>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</si>
  <si>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</si>
  <si>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</si>
  <si>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</si>
  <si>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</si>
  <si>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</si>
  <si>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</si>
  <si>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</si>
  <si>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</si>
  <si>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</si>
  <si>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</si>
  <si>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</si>
  <si>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</si>
  <si>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</si>
  <si>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</si>
  <si>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</si>
  <si>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</si>
  <si>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</si>
  <si>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</si>
  <si>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</si>
  <si>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</si>
  <si>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</si>
  <si>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</si>
  <si>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</si>
  <si>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</si>
  <si>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</si>
  <si>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</si>
  <si>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</si>
  <si>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</si>
  <si>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</si>
  <si>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</si>
  <si>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</si>
  <si>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</si>
  <si>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</si>
  <si>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</si>
  <si>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</si>
  <si>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</si>
  <si>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</si>
  <si>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</si>
  <si>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</si>
  <si>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</si>
  <si>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</si>
  <si>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</si>
  <si>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</si>
  <si>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</si>
  <si>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</si>
  <si>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</si>
  <si>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</si>
  <si>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</si>
  <si>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</si>
  <si>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</si>
  <si>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</si>
  <si>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</si>
  <si>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</si>
  <si>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</si>
  <si>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</si>
  <si>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</si>
  <si>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</si>
  <si>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</si>
  <si>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</si>
  <si>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</si>
  <si>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</si>
  <si>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</si>
  <si>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</si>
  <si>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</si>
  <si>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</si>
  <si>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</si>
  <si>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</si>
  <si>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</si>
  <si>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</si>
  <si>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</si>
  <si>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</si>
  <si>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</si>
  <si>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</si>
  <si>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</si>
  <si>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</si>
  <si>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</si>
  <si>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</si>
  <si>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</si>
  <si>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</si>
  <si>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</si>
  <si>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</si>
  <si>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</si>
  <si>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</si>
  <si>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</si>
  <si>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</si>
  <si>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</si>
  <si>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</si>
  <si>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</si>
  <si>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</si>
  <si>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</si>
  <si>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</si>
  <si>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</si>
  <si>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</si>
  <si>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</si>
  <si>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</si>
  <si>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</si>
  <si>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</si>
  <si>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</si>
  <si>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</si>
  <si>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</si>
  <si>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</si>
  <si>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</si>
  <si>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</si>
  <si>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</si>
  <si>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</si>
  <si>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</si>
  <si>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</si>
  <si>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</si>
  <si>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</si>
  <si>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</si>
  <si>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</si>
  <si>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</si>
  <si>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</si>
  <si>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</si>
  <si>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</si>
  <si>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</si>
  <si>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</si>
  <si>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</si>
  <si>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</si>
  <si>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</si>
  <si>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</si>
  <si>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</si>
  <si>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</si>
  <si>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</si>
  <si>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</si>
  <si>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</si>
  <si>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</si>
  <si>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</si>
  <si>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</si>
  <si>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</si>
  <si>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</si>
  <si>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</si>
  <si>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</si>
  <si>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</si>
  <si>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</si>
  <si>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</si>
  <si>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</si>
  <si>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</si>
  <si>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</si>
  <si>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</si>
  <si>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</si>
  <si>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</si>
  <si>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</si>
  <si>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</si>
  <si>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</si>
  <si>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</si>
  <si>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</si>
  <si>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</si>
  <si>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</si>
  <si>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</si>
  <si>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</si>
  <si>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</si>
  <si>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</si>
  <si>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</si>
  <si>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</si>
  <si>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</si>
  <si>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</si>
  <si>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</si>
  <si>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</si>
  <si>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</si>
  <si>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</si>
  <si>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</si>
  <si>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</si>
  <si>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</si>
  <si>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</si>
  <si>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</si>
  <si>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</si>
  <si>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</si>
  <si>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</si>
  <si>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</si>
  <si>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</si>
  <si>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</si>
  <si>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</si>
  <si>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</si>
  <si>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</si>
  <si>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</si>
  <si>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</si>
  <si>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</si>
  <si>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</si>
  <si>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</si>
  <si>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</si>
  <si>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</si>
  <si>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</si>
  <si>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</si>
  <si>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</si>
  <si>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</si>
  <si>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</si>
  <si>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</si>
  <si>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</si>
  <si>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</si>
  <si>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</si>
  <si>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</si>
  <si>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</si>
  <si>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</si>
  <si>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</si>
  <si>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</si>
  <si>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</si>
  <si>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</si>
  <si>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</si>
  <si>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</si>
  <si>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</si>
  <si>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</si>
  <si>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</si>
  <si>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</si>
  <si>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</si>
  <si>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</si>
  <si>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</si>
  <si>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</si>
  <si>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</si>
  <si>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</si>
  <si>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</si>
  <si>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</si>
  <si>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</si>
  <si>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</si>
  <si>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</si>
  <si>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</si>
  <si>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</si>
  <si>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</si>
  <si>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Gestión Hídrica El Soldado.</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</si>
  <si>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</si>
  <si>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</si>
  <si>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</si>
  <si>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</si>
  <si>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</si>
  <si>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</si>
  <si>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</si>
  <si>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</si>
  <si>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</si>
  <si>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</si>
  <si>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</si>
  <si>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</si>
  <si>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</si>
  <si>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</si>
  <si>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</si>
  <si>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</si>
  <si>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</si>
  <si>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</si>
  <si>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</si>
  <si>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</si>
  <si>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</si>
  <si>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</si>
  <si>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</si>
  <si>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</si>
  <si>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</si>
  <si>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</si>
  <si>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</si>
  <si>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</si>
  <si>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</si>
  <si>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</si>
  <si>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</si>
  <si>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</si>
  <si>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</si>
  <si>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</si>
  <si>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</si>
  <si>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</si>
  <si>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</si>
  <si>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</si>
  <si>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</si>
  <si>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</si>
  <si>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</si>
  <si>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</si>
  <si>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</si>
  <si>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</si>
  <si>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</si>
  <si>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</si>
  <si>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</si>
  <si>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</si>
  <si>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</si>
  <si>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</si>
  <si>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</si>
  <si>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</si>
  <si>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</si>
  <si>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</si>
  <si>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</si>
  <si>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</si>
  <si>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</si>
  <si>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</si>
  <si>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</si>
  <si>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</si>
  <si>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</si>
  <si>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</si>
  <si>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</si>
  <si>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</si>
  <si>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</si>
  <si>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</si>
  <si>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</si>
  <si>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</si>
  <si>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</si>
  <si>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</si>
  <si>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</si>
  <si>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</si>
  <si>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</si>
  <si>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</si>
  <si>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</si>
  <si>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</si>
  <si>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</si>
  <si>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</si>
  <si>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</si>
  <si>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</si>
  <si>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</si>
  <si>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</si>
  <si>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</si>
  <si>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</si>
  <si>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</si>
  <si>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</si>
  <si>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</si>
  <si>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</si>
  <si>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</si>
  <si>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</si>
  <si>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</si>
  <si>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</si>
  <si>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</si>
  <si>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</si>
  <si>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</si>
  <si>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</si>
  <si>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</si>
  <si>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</si>
  <si>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</si>
  <si>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</si>
  <si>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</si>
  <si>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</si>
  <si>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</si>
  <si>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</si>
  <si>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</si>
  <si>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</si>
  <si>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</si>
  <si>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</si>
  <si>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</si>
  <si>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</si>
  <si>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</si>
  <si>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</si>
  <si>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</si>
  <si>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</si>
  <si>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</si>
  <si>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</si>
  <si>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</si>
  <si>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</si>
  <si>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</si>
  <si>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</si>
  <si>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</si>
  <si>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</si>
  <si>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</si>
  <si>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</si>
  <si>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</si>
  <si>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</si>
  <si>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</si>
  <si>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</si>
  <si>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</si>
  <si>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</si>
  <si>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</si>
  <si>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</si>
  <si>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</si>
  <si>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</si>
  <si>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</si>
  <si>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</si>
  <si>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</si>
  <si>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</si>
  <si>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</si>
  <si>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</si>
  <si>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</si>
  <si>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</si>
  <si>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</si>
  <si>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</si>
  <si>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</si>
  <si>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</si>
  <si>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</si>
  <si>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</si>
  <si>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</si>
  <si>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</si>
  <si>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</si>
  <si>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</si>
  <si>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</si>
  <si>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</si>
  <si>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</si>
  <si>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</si>
  <si>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</si>
  <si>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</si>
  <si>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</si>
  <si>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</si>
  <si>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</si>
  <si>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</si>
  <si>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</si>
  <si>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</si>
  <si>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</si>
  <si>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</si>
  <si>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</si>
  <si>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</si>
  <si>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</si>
  <si>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</si>
  <si>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</si>
  <si>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</si>
  <si>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</si>
  <si>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</si>
  <si>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</si>
  <si>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</si>
  <si>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</si>
  <si>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</si>
  <si>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</si>
  <si>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</si>
  <si>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</si>
  <si>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</si>
  <si>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</si>
  <si>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</si>
  <si>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</si>
  <si>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</si>
  <si>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</si>
  <si>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</si>
  <si>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</si>
  <si>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</si>
  <si>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</si>
  <si>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</si>
  <si>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</si>
  <si>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</si>
  <si>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</si>
  <si>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</si>
  <si>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</si>
  <si>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</si>
  <si>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</si>
  <si>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</si>
  <si>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</si>
  <si>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</si>
  <si>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</si>
  <si>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</si>
  <si>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</si>
  <si>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</si>
  <si>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 xml:space="preserve">Migración Red Lora </t>
  </si>
  <si>
    <t>[Global Tórtolas] Pozo BN7</t>
  </si>
  <si>
    <t>Durante mañana tarde firmas de PT, se retiran equipos de Netaxion.
Paula Riquelme nos hace entrega de antenas Lora.
Tiempo restante para migrar BN7 a Lora Wan, se dejan con Paula 21 equipos de estos guardados en su oficina.</t>
  </si>
  <si>
    <t xml:space="preserve">Uc300 </t>
  </si>
  <si>
    <t>6445F15714530004</t>
  </si>
  <si>
    <t>Visita terreno</t>
  </si>
  <si>
    <t xml:space="preserve">AAES </t>
  </si>
  <si>
    <t xml:space="preserve">Galileo estación reelevadora </t>
  </si>
  <si>
    <t>Se acude al punto a verificar la condición y se anota lo que falta para la habilitación de éste.
Batería acorde y peinado de cables</t>
  </si>
  <si>
    <t>Gestiones</t>
  </si>
  <si>
    <t>Configuración telemetria pozo BN12</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</si>
  <si>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</si>
  <si>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Migración a Red Lora Wan LT </t>
  </si>
  <si>
    <t xml:space="preserve">Matias Signorio - Paula Riquelme </t>
  </si>
  <si>
    <t>Se instalan y configuración dispositivo red Lora Wan, se validan datos terreno plataforma ok + antena ok.</t>
  </si>
  <si>
    <t>Uc300-915M</t>
  </si>
  <si>
    <t>6445F17824030004</t>
  </si>
  <si>
    <t>Punto ok.</t>
  </si>
  <si>
    <t>[Global Tórtolas] Pozo BN1</t>
  </si>
  <si>
    <t>Se instalan y configuración dispositivo red Lora Wan, se validan datos terreno plataforma ok. + antena</t>
  </si>
  <si>
    <t>6445F15707350005</t>
  </si>
  <si>
    <t>Punto transmisión de datos ok.</t>
  </si>
  <si>
    <t>Se instalan y configuración dispositivo red Lora Wan, se validan datos terreno plataforma ok. + antena ok.</t>
  </si>
  <si>
    <t xml:space="preserve">Uc300-915M </t>
  </si>
  <si>
    <t>6445F15534110005</t>
  </si>
  <si>
    <t>Punto con transmisión de datos ok.</t>
  </si>
  <si>
    <t xml:space="preserve">Visita a Pem 01 con SS
Se debe entregar a SS estructura de soporte para panel
 dimensiones : 1217*992*35mm
Se acude para verificar el posicionamiento del poste a instalar. </t>
  </si>
  <si>
    <t xml:space="preserve">Visita a Pem 03 con SS
Se debe entregar a SS estructura de soporte para panel y un panel solar, ya que fue vandalizado. 
 dimensiones panel : 1217*992*35mm
Se acude para verificar el posicionamiento del poste a instalar. </t>
  </si>
  <si>
    <t xml:space="preserve">Válvula desde piscina UG hacia piscina 3800 </t>
  </si>
  <si>
    <t>Se acude al punto para cerrar válvula por completo por solicitud del cliente</t>
  </si>
  <si>
    <t xml:space="preserve">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t>
  </si>
  <si>
    <t>1 tablero fotovoltaico + uc300
1 tablero PLC 16R</t>
  </si>
  <si>
    <t>Falta rotular tableros con código qr</t>
  </si>
  <si>
    <t xml:space="preserve">Panel fotovoltaico </t>
  </si>
  <si>
    <t xml:space="preserve">... </t>
  </si>
  <si>
    <t xml:space="preserve">Se realiza la limpieza de panel fotovoltaico 
No presenta observaciones
</t>
  </si>
  <si>
    <t xml:space="preserve">Se acude al punto para resolución de ticket, ya que presentaba peaks de valores respecto a la conductividaddel agua en plataforma.
Se revisan software y se verifica la lectura
Se encuentra en orden y registrando valores en plataforma. </t>
  </si>
  <si>
    <t>- Tablero PLC 16R
- Tablero fotovoltaico + UC300</t>
  </si>
  <si>
    <t>Panel fotovoltsico</t>
  </si>
  <si>
    <t xml:space="preserve">Se realiza limpieza
No presenta observaciones </t>
  </si>
  <si>
    <t xml:space="preserve">Garantía pantalla sala de control </t>
  </si>
  <si>
    <t>Sala de control LPG</t>
  </si>
  <si>
    <t>Hernan Rojas</t>
  </si>
  <si>
    <t xml:space="preserve">Se realiza instalación de nueva pantalla por garantia </t>
  </si>
  <si>
    <t>Thinkpad lenovo</t>
  </si>
  <si>
    <t>V30F882K</t>
  </si>
  <si>
    <t xml:space="preserve">Reposición pantalla dañada </t>
  </si>
  <si>
    <t xml:space="preserve">Se realiza limpieza de tableros, limpieza de panel fotovoltaico, reapriete de terminales, mediciones de voltaje, revisión, contratación y validación de datos en plataforma y software ecostruxture.
Datos congruentes. 
</t>
  </si>
  <si>
    <t>Tablero de banco baterias
Tablero We connect
Tablero PLC16R</t>
  </si>
  <si>
    <t xml:space="preserve">No presenta observaciones </t>
  </si>
  <si>
    <t>Mantenimiento correctivo R2700</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</si>
  <si>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</si>
  <si>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Implementacion red LORA WAN</t>
  </si>
  <si>
    <t>Se instala equipos y antena para monitoreo de datos a través de red lora con éxito.</t>
  </si>
  <si>
    <t>[Global Tórtolas] Pozo BN4</t>
  </si>
  <si>
    <t>Se instala equipos y antena para monitoreo de datos a través de red lora con éxito.
Queda pendiente validación de datos ya que punto se encuentra desnergizado.</t>
  </si>
  <si>
    <t>[Global Tórtolas] Pozo O4</t>
  </si>
  <si>
    <t>Se instala equipos y antena para monitoreo de datos a través de red lora con éxito.
Queda pendiente validación de datos ya que punto se encuentra desnergizado</t>
  </si>
  <si>
    <t xml:space="preserve">Planta Solar </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</si>
  <si>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</si>
  <si>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[APR Los Caleos] Pozo 4</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</si>
  <si>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</si>
  <si>
    <t>Configuración de caudalimetro debido a que se cambio y de plc programación 
Incorporación Red LoraWan</t>
  </si>
  <si>
    <t>[Global Tórtolas] Pozo PBM6</t>
  </si>
  <si>
    <t xml:space="preserve">Se realiza la configuración de caudalimeteo para su lectura modbus, además se actualiza programación, se validan datos ok.
</t>
  </si>
  <si>
    <t>Sin marca</t>
  </si>
  <si>
    <t xml:space="preserve">Sin serie </t>
  </si>
  <si>
    <t>Quinta realiza cambio de equipo por lo cual se pierde lectura de datos.</t>
  </si>
  <si>
    <t>Se instalan componentes para red industrial Red LoraWan + antena, validación de datos ok.</t>
  </si>
  <si>
    <t>6445F15531030004</t>
  </si>
  <si>
    <t>Queda pendiente incorporación de lectura de datos de sonda multiparametrica.</t>
  </si>
  <si>
    <t>6445F15404070000</t>
  </si>
  <si>
    <t>Instalación ok</t>
  </si>
  <si>
    <t>Montaje de solución solar y configuración de los equipos en el interior sala bomba 3050.</t>
  </si>
  <si>
    <t>1- Se deja instalado y operativo el inversor de carga.
2- Se reemplaza cableado en mal estado del inversor y el banco de batería.
3- Se instalan el gabinete del banco de batería y lista para operar.
4. Se dejan ensambladas los soportes de los paneles fotovoltaicos para su futura instalación (el día de mañana a la fecha de la subida de este documento)</t>
  </si>
  <si>
    <t>1. Epever UP3000 HMI10022.
2. Tablero de derivación.
3. Banco de batería.
4. UPS</t>
  </si>
  <si>
    <t>A la hora de generar el montaje de los equipos previamente menciona, se detecta que hay una bomba trifásica por instalar, lo cual dificulta el trabajo continuo, haciéndolo inseguro.</t>
  </si>
  <si>
    <t>Disp. regulador de energía</t>
  </si>
  <si>
    <t>1. Epever UP3000 HMI10022.</t>
  </si>
  <si>
    <t>No presenta daño.</t>
  </si>
  <si>
    <t>Disp. de almacenamiento de energía</t>
  </si>
  <si>
    <t>Banco de baterías y UPS</t>
  </si>
  <si>
    <t xml:space="preserve">1. Se deja instalado el gabinete y se almacenan las baterías en su interior. Adicionalmente, se deja el cableado listo para la operación.
2. Se cablea la UPS, dejándola aguas arriba del interruptor general de nuestro tablero de alimentación. De esta forma, respalda el equipo y filtra correctamente los picos de voltaje.
</t>
  </si>
  <si>
    <t>Banco de baterías, tablero de derivación e inversor.</t>
  </si>
  <si>
    <t>Se reemplazada todo cableado dañado. Conectores con desperfectos se remueve y se reemplaza.</t>
  </si>
  <si>
    <t xml:space="preserve">Integración Red LoraWan industrial </t>
  </si>
  <si>
    <t>[Global Tórtolas] Pozo BN6</t>
  </si>
  <si>
    <t>Integración de equipos LoraWan, configuración y validación de datos en plataforma ok. Instalación de antena ok.</t>
  </si>
  <si>
    <t>Implementacion sin novedad.</t>
  </si>
  <si>
    <t xml:space="preserve">Se realiza limpieza a tableros, panel fotovoltaico, sonda multiparametrica u sensor de nivel.
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t>
  </si>
  <si>
    <t>Tablero fotovoltaico + UC300
Tablero PLC 16R</t>
  </si>
  <si>
    <t xml:space="preserve">Tablero de PLC le faltan las tapas de bandejas </t>
  </si>
  <si>
    <t xml:space="preserve">Instalación de equipos para monitoreo de calidad de agua </t>
  </si>
  <si>
    <t xml:space="preserve">Se toman fotografías de sonda instalada ya que fue remplazada en su momento por la sonda existente que se encontraba con problemas de lectura de nivel </t>
  </si>
  <si>
    <t xml:space="preserve">Monitoreo de calidad de agua </t>
  </si>
  <si>
    <t xml:space="preserve">Bodega </t>
  </si>
  <si>
    <t xml:space="preserve">Se hace revisión de los insumos que se encuentran en bodega de AALT. Se corrobora que se encuentran los insumos en buenas condiciones y en su totalidad </t>
  </si>
  <si>
    <t xml:space="preserve">Edificio de administración </t>
  </si>
  <si>
    <t xml:space="preserve">Se deja conectado pendiente de configuración e integración de variables a leer </t>
  </si>
  <si>
    <t xml:space="preserve">Equipo queda con su alimentación en 12V pendiente de generar la configuración y puesta en marcha </t>
  </si>
  <si>
    <t>25273H406101</t>
  </si>
  <si>
    <t>Sonda multiparametrica queda instalada dentro de case, solución para la implantación del fluido de agua y captación de lectura de variables.</t>
  </si>
  <si>
    <t>SDI-12</t>
  </si>
  <si>
    <t>S/N</t>
  </si>
  <si>
    <t xml:space="preserve">Conector RS485 modbus, </t>
  </si>
  <si>
    <t>Cable de conexión de sonda multiparametrica y conector SDI-12</t>
  </si>
  <si>
    <t xml:space="preserve">Se genera la conexión de cable SDI-12 a su sonda multiparametrica, a la espera de generar el fluido para la lectura de las variables </t>
  </si>
  <si>
    <t>Contrato</t>
  </si>
  <si>
    <t>PT (Permiso de trabajo)</t>
  </si>
  <si>
    <t>DET (Análisis de Riesgos)</t>
  </si>
  <si>
    <t>Cinco Pasos para Trabajar Seguro</t>
  </si>
  <si>
    <t>Charla de 5 Minutos</t>
  </si>
  <si>
    <t>Check List de Camioneta/ Somnolencia</t>
  </si>
  <si>
    <t>AST</t>
  </si>
  <si>
    <t>Punto queda transmitiendo y operativo</t>
  </si>
  <si>
    <t>25090185</t>
  </si>
  <si>
    <t xml:space="preserve">Se instala estructura y Panel Solar </t>
  </si>
  <si>
    <t>6445F15413510005</t>
  </si>
  <si>
    <t>Equipo operativo</t>
  </si>
  <si>
    <t>6445F15571250005</t>
  </si>
  <si>
    <t>Equipos operativos</t>
  </si>
  <si>
    <t>6445F15730690001</t>
  </si>
  <si>
    <t xml:space="preserve">6445F15537830004 </t>
  </si>
  <si>
    <t>6445F17818580005</t>
  </si>
  <si>
    <t>6445F15t3200001</t>
  </si>
  <si>
    <t>6445F1544603009</t>
  </si>
  <si>
    <t xml:space="preserve">Sin número de serie </t>
  </si>
  <si>
    <t xml:space="preserve">Se instala flowcell y mangueras micro tubo.
Luego se configura equipo Sutron y sonda multiparametrica se obtienen lecturas y de contrastan con la plataforma weapp </t>
  </si>
  <si>
    <t>25090179</t>
  </si>
  <si>
    <t xml:space="preserve">Queda pendiente la integración de soluciones case, sonda multiparametrica y configuración. Además, falta instalación  de llave válvula de bola por empresa quinta. Próxima semana es posible que generen la instalación </t>
  </si>
  <si>
    <t>Gestión hidrica el soldado</t>
  </si>
  <si>
    <t xml:space="preserve">Queda pendiente la integración de la sonda multiparametrica y generar la configuración de los equipos y comunicación con la plataforma </t>
  </si>
  <si>
    <t>N-A</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</si>
  <si>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</si>
  <si>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</si>
  <si>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</si>
  <si>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Se realiza contrastación de caudal en arranque BH-T4 en caudalimetro electromagnético, instrumento en terreno marca 8,64 l-s e instrumento patrón 8,06 l-s, obteniendo una leve diferencia entre equipos, pero confiable.</t>
  </si>
  <si>
    <t>S-O</t>
  </si>
  <si>
    <t>Se realiza contrastación de caudalimetro E, se logra hacer mediciones y registrar fotograficamente los resultados. Las mediciones arrojan un desfase de aproximadamente 60l-s entre el equipo patrón y el instrumento en terreno.</t>
  </si>
  <si>
    <t>Resolución 31 we2025-01166</t>
  </si>
  <si>
    <t>PME-08, PME-09, PP-29, PP-31, PMO-08, PMO-15, Dren MO</t>
  </si>
  <si>
    <t>Se realiza inspección y configuración para la lectura de los equipos en terreno con la intención de generar la integración de los equipo Sutron y obtención de lectura y transmisión a plataforma</t>
  </si>
  <si>
    <t>WE2025-01166</t>
  </si>
  <si>
    <t>WE2023-1032</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</si>
  <si>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</si>
  <si>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</si>
  <si>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WE2023-0944</t>
  </si>
  <si>
    <t>Giovanni Cuneo</t>
  </si>
  <si>
    <t>Levantamiento Cachimba TK0042 para piloto seguimiento camiones aljíbes</t>
  </si>
  <si>
    <t xml:space="preserve">Salares Norte - Piloto Monitoreo de Camiones Aljíbes (TK0042) </t>
  </si>
  <si>
    <t>Cachimba TK0042</t>
  </si>
  <si>
    <t>Felipe Nuñez</t>
  </si>
  <si>
    <t xml:space="preserve">El TK0042 es un tanque de almacenamiento ubicado en barrio cívico con una capacidad de 2500 m3. Desde este punto salen diferentes camiones a destinos que el superintendente no tiene del todo claro. La idea es poder hacerle seguimiento a estos camiones con nuestra solución. Existe un video explicativo del sector en sharepoint.
A continuación especificaciones técnicas.
Información Lugar:
Señal Movil: Proveedor: Claro/WOM - Intesidad: Buena
Hidráulica
Diámetro Tubería: 4"
Material Tubería: Acero
Estado Físico: Buen Estado
Punto Descarga: Cachimba
Instrumentación
Caudalímetro: E&amp;H
Electricidad: No Solar
Partida Bomba: No Aplica (Gravitacional)
</t>
  </si>
  <si>
    <t>Levantamiento Pozos Monitoreo de Extracciones Efectivas Salares Norte</t>
  </si>
  <si>
    <t>Salares Norte - Pozos de Monitoreo de Extracciones Efectivas</t>
  </si>
  <si>
    <t>WEDR001</t>
  </si>
  <si>
    <t xml:space="preserve">El punto WEDR001 es uno de los 5 pozos de extracción existentes en Salares Norte para la operación (Se visitaron 4). Esta va al TK0052 de 280 m3 que a su vez alimenta a toda la Operación de Salares Norte.
A continuación dejo los puntos más importantes.
Información Lugar
- Caudal Autorizado: 18 L/s
- Coordenada UTM: 7.126.431 N - 519.962 E
- Señal Movil: "Proveedor: Claro/WOM Intensidad: Buena"
Hidráulica
- Díametro Tubería: DN150 (6") - PN10/16
- Material Tubería: Acero
- Tramos Rectos: Aguas Arriba: 165 cm (65"") ~10DN / Aguas Abajo: 68 cm ~ 27"" ~ 4.5 DN
- Accesorios: Manómetro no operativo (No lo requieren)
- Estado Físico: Buen Estado
- Punto Descarga: TK0052 (280 m3) - Sin embargo lo utilizan solamente cuando el WEDR001- A entra a mantención.
Pozo
- Nivel Estático: 141 mts
- Nivel Dinámico: 152 mts
- Profundidad Bomba: 170 mts
- Profundidad del Pozo: 208.5 mts
- Placa Bomba: Imagen Adjunta
- Díametro Pozo: 12"
- Díametro Línea de Aire: 2"
Instrumentación:
- Caudalímetro: Marca: Siemens - Electromagnético
- Nivel: Marca: BGT-GX701PT - 4 -20 - Analógico
- Electricidad: No Solar
- Partida Bomba: VDF
</t>
  </si>
  <si>
    <t>WEDR001-A</t>
  </si>
  <si>
    <t xml:space="preserve">El punto WEDR001-A es uno de los 5 pozos de extracción existentes en Salares Norte para la operación (Se visitaron 4). Este punto se encuentra junto al WEDR001 y es uno de los dos pozos principales que alimentan al TK0052 (en conjunto con el WEDR003-B). A continuación dejo los puntos más importantes.
Información Lugar
- Caudal Autorizado: 40 L/s
- Coordenada UTM: 7.126.442 N - 519.952 E
- Señal Movil: "Proveedor: Claro/WOM Intensidad: Buena"
Hidráulica
- Díametro Tubería: DN200 (8")
- Material Tubería: Acero
- Tramos Rectos: Aguas Arriba: &gt; 40" (&gt;5DN) / Aguas Abajo: &gt; 80" (&gt;10DN)
- Accesorios: Manómetro operativo (E&amp;H)
- Estado Físico: Buen Estado
- Punto Descarga: TK0052 (280 m3)
Pozo
- Nivel Estático: 142 mts
- Nivel Dinámico: 152.3 mts
- Profundidad Bomba: 192 mts
- Profundidad del Pozo: 226 mts
- Placa Bomba: Imagen Adjunta
- Díametro Pozo: 16"
- Díametro Línea de Aire: 4"
Instrumentación:
- Caudalímetro: Marca: Siemens - Electromagnético
- Nivel: Marca: BGT-GX701PT - 4 -20 - Analógico
- Electricidad: No Solar
- Partida Bomba: VDF
</t>
  </si>
  <si>
    <t>WEDR003</t>
  </si>
  <si>
    <t>El punto WEDR003 es uno de los 5 pozos de extracción existentes en Salares Norte para la operación (Se visitaron 4). Este punto no se encuentra operativo. A continuación, dejo los puntos más importantes.
Información Lugar
- Caudal Autorizado: 3.2 L/s
- Coordenada UTM: 7.125.873 N - 520.796 E
- Señal Movil: "Proveedor: Claro/WOM Intensidad: Buena"
Hidráulica
- Díametro Tubería: DN50 (2")
- Material Tubería: Acero
- Tramos Rectos: "Aguas Arriba: 180 cm (36DN) / Aguas Abajo: 75 cm (15DN)"
- Accesorios: Válvula DN150 (6") PN10/15 DIN
- Estado Físico: Buen Estado
- Punto Descarga: No tiene uso, sin embargo si lo tuviera sería el TK0052 (280 m3)
Pozo
- Nivel Estático: 138.98 mts
- Nivel Dinámico: No se sabe ~ 155 mts
- Profundidad Bomba: 192 mts
- Profundidad del Pozo: 260 mts
- Placa Bomba: No
- Díametro Pozo: 12"
- Díametro Línea de Aire: 1.5" - 2"
Instrumentación:
- Caudalímetro: Marca: Siemens - Electromagnético
- Nivel: Marca: BGT-GX701PT - 4 -20 - Analógico
- Electricidad: No Solar
- Partida Bomba: No se está seguro</t>
  </si>
  <si>
    <t>WEDR003-B</t>
  </si>
  <si>
    <t>El punto WEDR003-B es uno de los 5 pozos de extracción existentes en Salares Norte para la operación (Se visitaron 4). Este punto se encuentra junto al WEDR003 y es uno de los dos pozos principales que alimentan al TK0052 (en conjunto con el WEDR001-A). A continuación dejo los puntos más 
Información Lugar
- Caudal Autorizado: 22 L/s
- Coordenada UTM: 7.125.980 N - 520.773 E
- Señal Movil: "Proveedor: Claro/WOM Intensidad: Buena"
Hidráulica
- Díametro Tubería: DN150 - 6"
- Material Tubería: Acero
- Tramos Rectos: "Aguas Arriba: No se tiene el dato pero según Felipe Cumple &gt;5DN / Aguas Abajo:  No se tiene el dato, pero según Felipe cumple 3DN"
- Accesorios: Válvula Manual
- Estado Físico: Buen Estado
- Punto Descarga: No tiene uso, sin embargo si lo tuviera sería el TK0052 (280 m3)
Pozo
- Nivel Estático: 138.4 mts
- Nivel Dinámico: 165 mts a 19 L/s
- Profundidad Bomba: 216 mts
- Profundidad del Pozo: 240 mts
- Placa Bomba: No
- Díametro Pozo: 16"
- Díametro Línea de Aire: 2"
Instrumentación:
- Caudalímetro: Marca: Siemens - Electromagnético
- Nivel: Marca: BGT-GX701PT - 4 -20 - Analógico
- Electricidad: No Solar
- Partida Bomba: VDF</t>
  </si>
  <si>
    <t>Instalación y Mantenimiento Sistema de Monitoreo Riecillos We Techs</t>
  </si>
  <si>
    <t>Se revisa equipo en terreno por unos peak de caudal que tuvo el fin de semana.
En la revisión todo funciona con normalidad 
El único detalle es que la tubería se escucha como si tuviera turbulencia o burbujas, pero es solo una interpretación. No se logra grabar con el teléfono.</t>
  </si>
  <si>
    <t xml:space="preserve">Se realiza la instalación de Paneles Solares 
Se instala Inversor 
Se realiza conexiones de equipos </t>
  </si>
  <si>
    <t xml:space="preserve">Panel Solar </t>
  </si>
  <si>
    <t>Resumen Reunión de Seguridad – Accidentes Inicio de Año
Durante la reunión de seguridad realizada a raíz de los accidentes ocurridos a comienzos del año, se abordaron situaciones de alta gravedad que generan gran preocupación en la organización.
Se informó un accidente en el proceso de corte con fusil, donde un trabajador sufrió la amputación de su dedo índice. Este evento refuerza la necesidad urgente de controlar los riesgos críticos que pueden generar accidentes con consecuencias fatales.
En un periodo de tres semanas se han registrado tres accidentes, lo cual evidencia fallas en el cumplimiento de los procedimientos establecidos, tanto en tareas propias como en trabajos realizados por empresas colaboradoras y externas, incluso en labores rutinarias.
Debido a esta situación, se tomó la decisión de detener las actividades por un día, con el objetivo de generar un espacio de reflexión, análisis y aprendizaje, priorizando siempre la seguridad y la vida de las personas.
Se acordó:
	•	Revisar los procesos por etapas, identificando riesgos y controles necesarios.
	•	Fortalecer el control de riesgos críticos, especialmente aquellos con potencial de fatalidad.
	•	Mejorar y reforzar los procedimientos de trabajo, evitando saltarse pasos establecidos.
	•	Exigir el cumplimiento estricto de las normas de seguridad, tanto a personal propio como a empresas externas.
Se recalcó que nadie está obligado a realizar un trabajo si los riesgos no están debidamente controlados, y que la seguridad debe ser siempre la prioridad por sobre cualquier plazo o producción.
La empresa reafirma su compromiso con la prevención de accidentes y hace un llamado a trabajar de manera responsable y consciente, entendiendo que la vida y la integridad de las personas es lo más importante.</t>
  </si>
  <si>
    <t>Instalación y montaje sistema solar 3050</t>
  </si>
  <si>
    <t xml:space="preserve">Se realizo canalización e instalación de cableado solar, desde paneles solares hasta tablero inversor. Se valida el correcto funcionamiento 
Se instala nuevo tablero de baterías </t>
  </si>
  <si>
    <t>Resolución de tickets</t>
  </si>
  <si>
    <t>Se acude a verificar la llave de paso hacia flowcell para conseguir una que sea DN15 con la capacidad de retención y que no se devuelva el agua hacia el pozo y quede el flowcell vacío.
Observación
Se aprecia que la ventosa de la tuberia se encuentra deteriorada y con fuga de agua</t>
  </si>
  <si>
    <t xml:space="preserve">No estaba realizando carga de baterías en el tablero, además de no transmitir los datos hacia plataforma desde las 12 hrs aprox.
Se regula fuente de voltaje para que realice carga de baterías.
Además el equipo de automatización realiza seteo remoto en teltonika modificando señales de conexión de 2g y 3g a automático para que pueda realizar la transmisión de datos de manera más eficiente con cualquier tipo de señal (2g-3g-4g-auto).
Finalmente el punto realiza entrega de datos y carga de baterías quedando en normalidad </t>
  </si>
  <si>
    <t>Integración Red industrial LT LoraWan</t>
  </si>
  <si>
    <t>Integración Red LoraWan ok
Instalación de antena ok
Validación de datos ok.</t>
  </si>
  <si>
    <t xml:space="preserve">Integración Red industrial LT LoraWan ok.
Lectura de datos ok.
Instalación antena ok.
</t>
  </si>
  <si>
    <t>Integración Red industrial LT LoraWan ok.
Instalación de antena ok
Validación de datos ok.</t>
  </si>
  <si>
    <t xml:space="preserve">Conexión y configuración de equipos para monitorear calidad de agua  </t>
  </si>
  <si>
    <t xml:space="preserve">Patricia Cortes </t>
  </si>
  <si>
    <t xml:space="preserve">Se genera la configuración del equipo Sutron y la sonda multiparametrica.
Se validan los datos con una muestra tomado directamente del pozo.
Se valida datos obtenidos de las variables leídas en terreno y contrastadas con la plataforma. 
Queda pendiente integrar el micro tubo para generar el paso de flujo para el flowcell y verificar el proceso de entrada y salida. 
</t>
  </si>
  <si>
    <t>[Global Tórtolas] Pozo PBO-2</t>
  </si>
  <si>
    <t xml:space="preserve">Queda pendiente integración de case y sonda última para su configuración y validación de variables tomando muestra reales de la calidad de agua. </t>
  </si>
  <si>
    <t xml:space="preserve">Cable que hace la conexión entre la sonda multiparametrica y el equipo Sutron 
</t>
  </si>
  <si>
    <t xml:space="preserve">Integración Red industrial LT LoraWan </t>
  </si>
  <si>
    <t>Instalación de uc 300 ok.
Instalación de antena ok.
Validación de datos ok.</t>
  </si>
  <si>
    <t>Columna1</t>
  </si>
  <si>
    <t>Columna2</t>
  </si>
  <si>
    <t>Columna3</t>
  </si>
  <si>
    <t xml:space="preserve">[Global Tórtolas] </t>
  </si>
  <si>
    <t xml:space="preserve">Se coordina con Joanil Contreras para la entrega de perfil metálico para instalación de lector de velocidad.
Se hace entrega de documentación a Sr. Nicolas solicitado por Rodrigo López.
Se espero a don Diego Ramos para la verificación de instalación de los postes en los puntos , pero no fue posible reunirnos, esta coordinado para hoy a las 10:00hrs apox.
- Se rotula las herramientas acorde al color reactivo de este 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</si>
</sst>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xf numFmtId="1" fontId="0" fillId="0" borderId="0" xfId="0" applyNumberFormat="1"/>
    <xf numFmtId="0" fontId="0" fillId="2" borderId="0" xfId="0" applyFill="1"/>
  </cellXfs>
  <cellStyles count="1">
    <cellStyle name="Normal" xfId="0" builtinId="0"/>
  </cellStyles>
  <dxfs count="16">
    <dxf>
      <numFmt numFmtId="19" formatCode="dd/mm/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10" Type="http://schemas.microsoft.com/office/2023/09/relationships/Python" Target="python.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8"/>
    </mc:Choice>
    <mc:Fallback>
      <c:style val="8"/>
    </mc:Fallback>
  </mc:AlternateContent>
  <c:pivotSource>
    <c:name>[resumen_trabajos.xlsx]Resumen!Resumen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Distribución se clasifiación de trabajos</a:t>
            </a:r>
            <a:r>
              <a:rPr lang="en-US" baseline="0"/>
              <a:t> en 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s>
    <c:plotArea>
      <c:layout/>
      <c:barChart>
        <c:barDir val="col"/>
        <c:grouping val="clustered"/>
        <c:varyColors val="0"/>
        <c:ser>
          <c:idx val="0"/>
          <c:order val="0"/>
          <c:tx>
            <c:strRef>
              <c:f>Resumen!$B$1</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4-555A-4E40-B095-11E0ACCDDA93}"/>
              </c:ext>
            </c:extLst>
          </c:dPt>
          <c:dPt>
            <c:idx val="1"/>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3-555A-4E40-B095-11E0ACCDDA93}"/>
              </c:ext>
            </c:extLst>
          </c:dPt>
          <c:dPt>
            <c:idx val="2"/>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5-555A-4E40-B095-11E0ACCDDA93}"/>
              </c:ext>
            </c:extLst>
          </c:dPt>
          <c:dPt>
            <c:idx val="3"/>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6-555A-4E40-B095-11E0ACCDDA93}"/>
              </c:ext>
            </c:extLst>
          </c:dPt>
          <c:dPt>
            <c:idx val="4"/>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7-555A-4E40-B095-11E0ACCDDA93}"/>
              </c:ext>
            </c:extLst>
          </c:dPt>
          <c:dPt>
            <c:idx val="5"/>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2-555A-4E40-B095-11E0ACCDDA93}"/>
              </c:ext>
            </c:extLst>
          </c:dPt>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95</c:v>
                </c:pt>
                <c:pt idx="3">
                  <c:v>53</c:v>
                </c:pt>
                <c:pt idx="4">
                  <c:v>20</c:v>
                </c:pt>
                <c:pt idx="5">
                  <c:v>35</c:v>
                </c:pt>
                <c:pt idx="6">
                  <c:v>241</c:v>
                </c:pt>
              </c:numCache>
            </c:numRef>
          </c:val>
          <c:extLst>
            <c:ext xmlns:c16="http://schemas.microsoft.com/office/drawing/2014/chart" uri="{C3380CC4-5D6E-409C-BE32-E72D297353CC}">
              <c16:uniqueId val="{00000000-555A-4E40-B095-11E0ACCDDA93}"/>
            </c:ext>
          </c:extLst>
        </c:ser>
        <c:dLbls>
          <c:showLegendKey val="0"/>
          <c:showVal val="0"/>
          <c:showCatName val="0"/>
          <c:showSerName val="0"/>
          <c:showPercent val="0"/>
          <c:showBubbleSize val="0"/>
        </c:dLbls>
        <c:gapWidth val="150"/>
        <c:axId val="384107840"/>
        <c:axId val="384121728"/>
      </c:barChart>
      <c:catAx>
        <c:axId val="38410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21728"/>
        <c:crosses val="autoZero"/>
        <c:auto val="1"/>
        <c:lblAlgn val="ctr"/>
        <c:lblOffset val="100"/>
        <c:noMultiLvlLbl val="0"/>
      </c:catAx>
      <c:valAx>
        <c:axId val="384121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Cantidad de trabajos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078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317500</xdr:colOff>
      <xdr:row>24</xdr:row>
      <xdr:rowOff>38100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38.481783333336" createdVersion="8" refreshedVersion="8" minRefreshableVersion="3" recordCount="462" xr:uid="{450B6550-9AEF-7E4B-8F91-B2C6EE528064}">
  <cacheSource type="worksheet">
    <worksheetSource ref="A1:N463" sheet="trabajos"/>
  </cacheSource>
  <cacheFields count="14">
    <cacheField name="OT" numFmtId="0">
      <sharedItems containsSemiMixedTypes="0" containsString="0" containsNumber="1" containsInteger="1" minValue="76" maxValue="382"/>
    </cacheField>
    <cacheField name="Técnico" numFmtId="0">
      <sharedItems/>
    </cacheField>
    <cacheField name="Contrat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ST"/>
        <s v="MC"/>
        <s v="MP"/>
        <s v="I"/>
        <s v="C"/>
        <s v="LT"/>
        <s v="G"/>
      </sharedItems>
    </cacheField>
    <cacheField name="Fecha visita" numFmtId="14">
      <sharedItems containsSemiMixedTypes="0" containsNonDate="0" containsDate="1" containsString="0" minDate="2025-08-25T00:00:00" maxDate="2026-01-07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PT (Permiso de trabajo)" numFmtId="0">
      <sharedItems containsString="0" containsBlank="1" containsNumber="1" containsInteger="1" minValue="0" maxValue="1"/>
    </cacheField>
    <cacheField name="DET (Análisis de Riesgos)" numFmtId="0">
      <sharedItems containsString="0" containsBlank="1" containsNumber="1" containsInteger="1" minValue="0" maxValue="1"/>
    </cacheField>
    <cacheField name="Cinco Pasos para Trabajar Seguro"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40.763625694446" createdVersion="8" refreshedVersion="8" minRefreshableVersion="3" recordCount="516" xr:uid="{9FBB762D-D065-A54B-8C87-80883B8D8371}">
  <cacheSource type="worksheet">
    <worksheetSource name="Tabla1"/>
  </cacheSource>
  <cacheFields count="24">
    <cacheField name="OT" numFmtId="0">
      <sharedItems containsSemiMixedTypes="0" containsString="0" containsNumber="1" containsInteger="1" minValue="76" maxValue="396"/>
    </cacheField>
    <cacheField name="Técnico" numFmtId="0">
      <sharedItems count="15">
        <s v="Elías Sanchez"/>
        <s v="David  Loncopan"/>
        <s v="Juan José López"/>
        <s v="Ángel Zamora"/>
        <s v="Diego Marchant"/>
        <s v="Emir Navarro Crocci"/>
        <s v="Leonardo Gonzalez"/>
        <s v="Rodrigo López"/>
        <s v="Camilo Sandoval"/>
        <s v="Cristopher Iglesias "/>
        <s v="Tomás Bustamante"/>
        <s v="Andrés Valenzuela"/>
        <s v="Matías Pomar"/>
        <s v="Felipe Riquelme"/>
        <s v="Giovanni Cuneo"/>
      </sharedItems>
    </cacheField>
    <cacheField name="Contrato" numFmtId="0">
      <sharedItems count="5">
        <s v="Ninguna respuesta seleccionada"/>
        <s v="WE2025-01166"/>
        <s v="WE2023-1032"/>
        <s v="Otro"/>
        <s v="WE2023-0944"/>
      </sharedItems>
    </cacheField>
    <cacheField name="Causa visita" numFmtId="0">
      <sharedItems containsBlank="1"/>
    </cacheField>
    <cacheField name="Proyecto" numFmtId="0">
      <sharedItems count="69">
        <s v="Gestión Hídrica El Soldado"/>
        <s v="ASP Pozos"/>
        <s v="Global Tórtolas"/>
        <s v="Gasco Ocean Spray"/>
        <s v="Las Tórtolas - SMA Res 31"/>
        <s v="Biodiversa - Cabrero"/>
        <s v="Biodiversa"/>
        <s v="Apr la peña "/>
        <s v="Resolución 31 "/>
        <s v="AA ES Charla de seguridad "/>
        <s v="Codelco - Gasco RT"/>
        <s v="Gestión hídrica del soldado "/>
        <s v="Los Bronces - Riecillos"/>
        <s v="El Soldado Cachimba Relevadoras"/>
        <s v="El Soldado Cachimba El Cobre"/>
        <s v="Gestión hídrica el soldado "/>
        <s v="Proyecto no especificado"/>
        <s v="Abastible - PSR La Estrella"/>
        <s v="SMA res 31 "/>
        <s v="Estadio Español"/>
        <s v="Viñas de Chicureo"/>
        <s v="Brisaguas - La Cruz"/>
        <s v="Gestión hidrica el soldado Reforestacion"/>
        <s v="Resolución 31 monitoreo y calidad de aguas "/>
        <s v="Gestión hidrica el soldado"/>
        <s v="APR Santa Rosa De Colmo"/>
        <s v="Resolución 31 (calidad de agua "/>
        <s v="Resolución 31 supervisión de calidad de agua "/>
        <s v="SSR Comité Manzanar"/>
        <s v="SSR El Cajón de San Pedro"/>
        <s v="Gestión Hídrica El Soldado."/>
        <s v="SSR Los Almendros"/>
        <s v="Barrera T4"/>
        <s v="APR Parcelación El Melón RP1"/>
        <s v="Biodiversa Chimbarongo"/>
        <s v="Resolución 31, prospección de integración reportar calidad de agua "/>
        <s v="Lipigas PSR Quillayes"/>
        <s v="Levantamiento Ambipar"/>
        <s v="Res31- monitoreo calidad de aguas "/>
        <s v="Resolución 31 monitoreo calidad de aguas "/>
        <s v="Biodiversa - Graneros"/>
        <s v="WE2025-01086"/>
        <s v="Resolucion 31 calidad de aguas "/>
        <s v="Resolución 31 calidad de aguas "/>
        <s v="Sala de control GNL Lipigas "/>
        <s v="Lipigas PSR Danone (Chillán)"/>
        <s v="Gestión hidrica el soldado "/>
        <s v="R.E31 we2025-01166"/>
        <s v="Recursos Hidricos el soldado "/>
        <s v="We2025-01166"/>
        <s v="SSR Pocochay"/>
        <s v="Resolución 31 we2025-01166"/>
        <s v="Sala de control - lipigas"/>
        <s v="Lipigas Sala de Control"/>
        <s v="Farellones"/>
        <s v="APR Carmen San José"/>
        <s v="Oficina We"/>
        <s v="AAES"/>
        <s v="Calidad de aguas "/>
        <s v="APR Los Caleos"/>
        <s v="AALT DGA"/>
        <s v="Sala de control lipigas"/>
        <s v="BN12"/>
        <s v="Calidad del Aire"/>
        <s v="AAES "/>
        <s v="Salares Norte - Piloto Monitoreo de Camiones Aljíbes (TK0042) "/>
        <s v="Salares Norte - Pozos de Monitoreo de Extracciones Efectivas"/>
        <s v="Sala de control LPG"/>
        <s v="Monitoreo de calidad de agua "/>
      </sharedItems>
    </cacheField>
    <cacheField name="Asset" numFmtId="0">
      <sharedItems count="206">
        <s v="[Gestión Hídrica El Soldado] Zona Veta Blanca Nodo Piscina 4000"/>
        <s v="[Gestión Hídrica El Soldado] Sector -300 Gateway"/>
        <s v="[Gestión Hídrica El Soldado] Pozo Inyección Barrera Hidráulica PI19"/>
        <s v="[Gestión Hídrica El Soldado] Pozo Inyección Barrera Hidráulica PI18"/>
        <s v="[Gestión Hídrica El Soldado] Pozo Inyección Barrera Hidráulica PI1 Nodo B22"/>
        <s v="[Gestión Hídrica El Soldado] Pozo Inyección Barrera Hidráulica PI2 Nodo B21"/>
        <s v="[ASP Pozos] Pozo 24"/>
        <s v="[Global Tórtolas] Pozo PMO 08 Nodo Nuevo"/>
        <s v="[Gasco Ocean Spray] Gasco Ocean Spray"/>
        <s v="Bodega S. Recursos Hídricos "/>
        <s v="[Gestión Hídrica El Soldado] Pozo Inyección Barrera Hidráulica PI3 Nodo B3"/>
        <s v="[Gestión Hídrica El Soldado] Pozo Inyección Barrera Hidráulica PI4 Nodo B2"/>
        <s v="Pozo Monitoreo PMO-05"/>
        <s v="[Biodiversa - Cabrero] Biodiversa Cabrero Linea 1"/>
        <s v="[Biodiversa] Biodiversa"/>
        <s v="Oficina "/>
        <s v="[Gestión Hídrica El Soldado] Pozo Inyección Barrera Hidráulica PI5 Nodo B5"/>
        <s v="[Gestión Hídrica El Soldado] Pozo Inyección Barrera Hidráulica PI6 Nodo B6"/>
        <s v="PMO-05"/>
        <s v="[Global Tórtolas] Pozo PME 11 Nodo"/>
        <s v="PME-11_x000a_PME-10_x000a_PBM1_x000a_PBM2_x000a_PBM3"/>
        <s v="Casino "/>
        <s v="[Gestión Hídrica El Soldado] Dren de Cap de Inflil (AO-1) Gateway B"/>
        <s v="[Codelco - Gasco RT] Zona 1"/>
        <s v="PEM-01"/>
        <s v="[Gestión Hídrica El Soldado] Pozo Los Litres N° 01 (PLL-01) Nodo A12"/>
        <s v="[Gestión Hídrica El Soldado] Pozo Los Litres N° 02 (PLL-02) Nodo A13"/>
        <s v="[Gestión Hídrica El Soldado] PM-3 Nodo B19"/>
        <s v="[Gestión Hídrica El Soldado] PM-4 Nodo B20"/>
        <s v="[Global Tórtolas] Pozo PBM1"/>
        <s v="[Gestión Hídrica El Soldado] Pozo Los Litres N° 05 (PLL-05)"/>
        <s v="[Gestión Hídrica El Soldado] PM-1 Nodo B17"/>
        <s v="[Global Tórtolas] Pozo O4B"/>
        <s v="[Global Tórtolas] Pozo P3G"/>
        <s v="[Los Bronces - Riecillos] R3050 Caudalimetro C"/>
        <s v="[Los Bronces - Riecillos] R3050 Caudalimetro A"/>
        <s v="[Los Bronces - Riecillos] R3050 Caudalimetro E"/>
        <s v="[Gestión Hídrica El Soldado] Mina UG Canaleta Mina Planta"/>
        <s v="[El Soldado Cachimba Relevadoras] Cachimba Relevadoras"/>
        <s v="[El Soldado Cachimba El Cobre] El Soldado Cachimba el Cobre"/>
        <s v="[Gestión Hídrica El Soldado] Piscina 3800 desde V.B"/>
        <s v="Entrega de materiales a SS"/>
        <s v="[Global Tórtolas] Pozo PBM2"/>
        <s v="[Global Tórtolas] Pozo PBM3"/>
        <s v="Ninguna respuesta seleccionada"/>
        <s v="[Los Bronces - Riecillos] R2700 Caudalimetro B"/>
        <s v="[Los Bronces - Riecillos] R2700 Gateway"/>
        <s v="[Gestión Hídrica El Soldado] Zona Veta Blanca Gateway ZM"/>
        <s v="[Abastible - PSR La Estrella] Abastible - PSR La Estrella"/>
        <s v="[Gestión Hídrica El Soldado] Estero El Cobre (ET-0F) Nodo B"/>
        <s v="[Gestión Hídrica El Soldado] Pozo N° 3A (P3A) Nodo B1"/>
        <s v="[Global Tórtolas] Pozo PME 10 Gateway"/>
        <s v="[Gestión Hídrica El Soldado] PM-2 Nodo B18"/>
        <s v="[Gestión Hídrica El Soldado] Pozo El Melón N° 01 (PEM-01) Nodo"/>
        <s v="Oficina"/>
        <s v="[Global Tórtolas] Pozo PBM4"/>
        <s v="[Gestión Hídrica El Soldado] Pozo N° 3B (P3B) Nodo B4"/>
        <s v="[Gestión Hídrica El Soldado] Lora Piscina 3800"/>
        <s v="[Global Tórtolas] Pozo Dren MO Gateway"/>
        <s v="[Gestión Hídrica El Soldado] Pozo El Melón N° 02 (PEM-02) Gateway A"/>
        <s v="[Gestión Hídrica El Soldado] Pozo El Melón N° 03 (PEM-03)"/>
        <s v="[Gestión Hídrica El Soldado] Pozo El Melón N° 04 (PEM-04) Nodo A11"/>
        <s v="[Gestión Hídrica El Soldado] Pozo El Melón N° 06 (PEM-06) Nodo"/>
        <s v="[Gestión Hídrica El Soldado] Pozo El Melón N° 09 (PEM-09)"/>
        <s v="[Global Tórtolas] Pozo Dren ME Nodo"/>
        <s v="[Estadio Español] Estanques B.Elev"/>
        <s v="[Viñas de Chicureo] Estanque"/>
        <s v="[Viñas de Chicureo] Pozo 1"/>
        <s v="[Codelco - Gasco RT] Zona 2"/>
        <s v="[Brisaguas - La Cruz] Pozo 7"/>
        <s v="Reforestacion"/>
        <s v="[Global Tórtolas] Pozo Dren MP Nodo Nuevo"/>
        <s v="P6 y PBM4"/>
        <s v="Estanque caseta el melon "/>
        <s v="PBM4 y P6"/>
        <s v="[APR Santa Rosa De Colmo] Filtro"/>
        <s v="[SSR Comité Manzanar] Recinto Planta Principal"/>
        <s v="[SSR El Cajón de San Pedro] Recinto Pozo"/>
        <s v="Administrativo / Portezuelo"/>
        <s v="Cachimba Veta Blanca"/>
        <s v="[Global Tórtolas] Pozo P3GB"/>
        <s v="[Gestión Hídrica El Soldado] Monitoreo Canaletas UG"/>
        <s v="Arranque Barrera Hidráulica TRET/Estación Reelevadora. "/>
        <s v="[SSR Los Almendros] Pozo Los Almendros"/>
        <s v="Barrera T4"/>
        <s v="[Gestión Hídrica El Soldado] Pozo Inyección Barrera Hidráulica PI20"/>
        <s v="[Gestión Hídrica El Soldado] Pozo El Melón N° 10 (PEM-10) Nodo A16"/>
        <s v="[Global Tórtolas] Pozo P6"/>
        <s v="[APR Parcelación El Melón RP1] Pozo 1 y 2 y Estanques Azul y Acumulación"/>
        <s v="[SSR Comité Manzanar] Lora Estanque Manzanar"/>
        <s v="[Gestión Hídrica El Soldado] Pozo Inyección Barrera Hidráulica T4"/>
        <s v="[Gestión Hídrica El Soldado] PM-28C Nodo"/>
        <s v="[Gestión Hídrica El Soldado] PM-30 Nodo"/>
        <s v="[Biodiversa Chimbarongo] Biodiversa Chimbarongo"/>
        <s v="PP-31C_x000a_PP-29_x000a_PMO-15C_x000a_PME-09C_x000a_PME-08L"/>
        <s v="[Lipigas PSR Quillayes] PSR Quillayes"/>
        <s v="[Gestión Hídrica El Soldado] PM-6 Nodo 158"/>
        <s v="Puntos visitados _x000a__x000a_- Planta tratamiento el cobre_x000a_- TK los mayos"/>
        <s v="[Gestión Hídrica El Soldado] PM-07 Gateway"/>
        <s v="[Global Tórtolas] Pozo P2G"/>
        <s v="PME-9C"/>
        <s v="PME-08L"/>
        <s v="[Biodiversa - Graneros] Biodiversa Graneros"/>
        <s v="Línea Bomba 6 - FCAB"/>
        <s v="Línea Bomba 7 - FCAB"/>
        <s v="FCAB"/>
        <s v="Linea 2 hacia Piscina 9000 desde PIT F8"/>
        <s v="TK9000"/>
        <s v="Línea 2 ADASA"/>
        <s v="[Global Tórtolas] Pozo PMO 05"/>
        <s v="PMO-15c"/>
        <s v="PME-09"/>
        <s v="PME-08"/>
        <s v="Bodega ASAP"/>
        <s v="PMO-15"/>
        <s v="[ASP Pozos] Pozo 23"/>
        <s v="[ASP Pozos] Pozo 14"/>
        <s v="PME-10_x000a_PME-08_x000a_PME-09_x000a_PMO-05_x000a_PMO-15_x000a_PP-29_x000a_PP-31"/>
        <s v="Sala de control GNL"/>
        <s v="[Lipigas PSR Danone (Chillán)] PSR Danone (Chillán)"/>
        <s v="N-A"/>
        <s v="[Gestión Hídrica El Soldado] Pozo Inyección Barrera Hidráulica PI17"/>
        <s v="[Gestión Hídrica El Soldado] Tranque 4"/>
        <s v="Bodega de recursos hidricos "/>
        <s v="Piscina 4000"/>
        <s v="Válvulas túnel UG"/>
        <s v="[Gestión Hídrica El Soldado] Caudalimetro Portal de Arenas"/>
        <s v="Pozos PM exterior "/>
        <s v="Caudalimetro no invasivo entrada 3800"/>
        <s v="Piscina 3800 a TK convencional "/>
        <s v="Piscina 3800 a RELE"/>
        <s v="[Global Tórtolas] Pozo PBO-1"/>
        <s v="[Los Bronces - Riecillos] R3050 Gateway"/>
        <s v="Reforestacion "/>
        <s v="BH TRET "/>
        <s v="[Global Tórtolas] Pozo PBM5"/>
        <s v="PP-31"/>
        <s v="[Gestión Hídrica El Soldado] Estero El Gallo"/>
        <s v="Túnel norte "/>
        <s v="Rebalse piscina UG a estero el gallo"/>
        <s v="Rebalse piscina UG-300 hacia estero el gallo "/>
        <s v="Mina UG estero el gallo"/>
        <s v="[Global Tórtolas] Pozo PP-29"/>
        <s v="[Global Tórtolas] Pozo PME-09C"/>
        <s v="[SSR Pocochay] Recinto Estanque"/>
        <s v="Casino el cobre"/>
        <s v="[SSR Pocochay] Recinto Pozo"/>
        <s v="PME-08, PME-09, PP-29, PP-31, PMO-08, PMO-15, Dren MO"/>
        <s v="[Global Tórtolas] Pozo PME-08L"/>
        <s v="[Global Tórtolas] Pozo PMO-15C"/>
        <s v="Descarga el gallo mina UG"/>
        <s v="Sala de control Lipigas."/>
        <s v="Arranque BH TRET"/>
        <s v="[Global Tórtolas] Pozo PP-31C"/>
        <s v="Sala de control"/>
        <s v="[Global Tórtolas] Pozo BN3"/>
        <s v="[Gestión Hídrica El Soldado] Pozo Los Litres N° 03 (PLL-03) Nodo 168"/>
        <s v="[Gestión Hídrica El Soldado] Pozo Los Litres N° 04 (PLL-04) Nodo 169"/>
        <s v="[Gestión Hídrica El Soldado] Pozo Los Litres N° 06 (PLL-06) Nodo 154"/>
        <s v="[Global Tórtolas] Pozo Dren MP Nodo"/>
        <s v="PEM 4_x000a_PEM 6_x000a_PEM 10_x000a_PEM 9_x000a_PEM 1 _x000a_PEM 2_x000a_PEM 3"/>
        <s v="[Farellones] Planta de Tratamiento"/>
        <s v="[APR Carmen San José] Pozo 5 y Estanques"/>
        <s v="[Gestión Hídrica El Soldado] Pozo Inyección Barrera Hidráulica PI7 Nodo B7"/>
        <s v="[Gestión Hídrica El Soldado] PM-26 Nodo"/>
        <s v="P3a p3b y gateway ao1"/>
        <s v="PI 17_x000a_PI 18_x000a_PI 19_x000a_PI 20"/>
        <s v="Container"/>
        <s v="Bodega recursos hidricos "/>
        <s v="[Global Tórtolas] Pozo P7"/>
        <s v="[Gestión Hídrica El Soldado] Estero El Sauce"/>
        <s v="[Gestión Hídrica El Soldado] Caudalimetros HDS Sector Planta"/>
        <s v="[Gestión Hídrica El Soldado] Lora Dren los Caleos"/>
        <s v="PI17 AL PI20"/>
        <s v="Recinto PME-09, P6 Dren Muro Este"/>
        <s v="[APR Los Caleos] Pozos y Bombas Elevadoras"/>
        <s v="Patio de tuberias"/>
        <s v="[Gestión Hídrica El Soldado] Pozos El Soldado Caseta el Melón"/>
        <s v="[Global Tórtolas] Pozo BN8"/>
        <s v="[Gestión Hídrica El Soldado] Aguas de Inyección (AO-2) Nodo A15"/>
        <s v="BN12"/>
        <s v="Sala de control lipigas "/>
        <s v="Pozo BN12"/>
        <s v="[Global Tórtolas] Pozo BN12"/>
        <s v="Estacion reelevadora BH TRET "/>
        <s v="[Calidad del Aire] Estación Veta Blanca"/>
        <s v="Pozos monitoreo exteriores y ET 0F"/>
        <s v="Galileo estación reelevadora "/>
        <s v="Gestiones"/>
        <s v="[Global Tórtolas] Pozo BN7"/>
        <s v="[Global Tórtolas] Pozo BN6"/>
        <s v="Válvula desde piscina UG hacia piscina 3800 "/>
        <s v="[Global Tórtolas] Pozo BN1"/>
        <s v="Cachimba TK0042"/>
        <s v="WEDR001"/>
        <s v="WEDR001-A"/>
        <s v="WEDR003"/>
        <s v="WEDR003-B"/>
        <s v="Planta Solar "/>
        <s v="[APR Los Caleos] Pozo 4"/>
        <s v="[Global Tórtolas] Pozo BN4"/>
        <s v="[Global Tórtolas] Pozo O4"/>
        <s v="[Global Tórtolas] Pozo PBM6"/>
        <s v="Bodega "/>
        <s v="Edificio de administración "/>
        <s v="[Global Tórtolas] Pozo PBO-2"/>
      </sharedItems>
    </cacheField>
    <cacheField name="Tipo de trabajo" numFmtId="0">
      <sharedItems count="7">
        <s v="ST"/>
        <s v="MC"/>
        <s v="MP"/>
        <s v="I"/>
        <s v="C"/>
        <s v="LT"/>
        <s v="G"/>
      </sharedItems>
    </cacheField>
    <cacheField name="Fecha visita" numFmtId="14">
      <sharedItems containsSemiMixedTypes="0" containsNonDate="0" containsDate="1" containsString="0" minDate="2025-08-25T00:00:00" maxDate="2026-01-16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PT (Permiso de trabajo)" numFmtId="0">
      <sharedItems containsString="0" containsBlank="1" containsNumber="1" containsInteger="1" minValue="0" maxValue="1"/>
    </cacheField>
    <cacheField name="DET (Análisis de Riesgos)" numFmtId="0">
      <sharedItems containsString="0" containsBlank="1" containsNumber="1" containsInteger="1" minValue="0" maxValue="1"/>
    </cacheField>
    <cacheField name="Cinco Pasos para Trabajar Seguro" numFmtId="0">
      <sharedItems containsString="0" containsBlank="1" containsNumber="1" containsInteger="1" minValue="0" maxValue="1"/>
    </cacheField>
    <cacheField name="Charla de 5 Minutos" numFmtId="0">
      <sharedItems containsString="0" containsBlank="1" containsNumber="1" containsInteger="1" minValue="0" maxValue="1"/>
    </cacheField>
    <cacheField name="Check List de Camioneta/ Somnolencia" numFmtId="0">
      <sharedItems containsString="0" containsBlank="1" containsNumber="1" containsInteger="1" minValue="0" maxValue="1"/>
    </cacheField>
    <cacheField name="AST" numFmtId="0">
      <sharedItems containsString="0" containsBlank="1" containsNumber="1" containsInteger="1" minValue="0" maxValue="1"/>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 name="Columna1" numFmtId="0">
      <sharedItems containsNonDate="0" containsString="0" containsBlank="1"/>
    </cacheField>
    <cacheField name="Columna2" numFmtId="0">
      <sharedItems containsDate="1" containsString="0" containsBlank="1" containsMixedTypes="1" minDate="1899-12-31T00:00:00" maxDate="2025-08-26T00:00:00"/>
    </cacheField>
    <cacheField name="Columna3"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2">
  <r>
    <n v="81"/>
    <s v="Elías Sanchez"/>
    <s v="Ninguna respuesta seleccionada"/>
    <s v="Mantenimiento preventivo a puntos de inyección "/>
    <s v="Gestión Hídrica El Soldado"/>
    <s v="[Gestión Hídrica El Soldado] Zona Veta Blanca Nodo Piscina 4000"/>
    <x v="0"/>
    <d v="2025-08-25T00:00:00"/>
    <s v="Superintendencia de recursos hídricos "/>
    <s v="Se realiza visita para revisión del nivel, todo en orden nivel de piscina a 102,60%"/>
    <n v="3"/>
    <m/>
    <m/>
    <m/>
  </r>
  <r>
    <n v="81"/>
    <s v="Elías Sanchez"/>
    <s v="Ninguna respuesta seleccionada"/>
    <s v="Mantenimiento preventivo a puntos de inyección "/>
    <s v="Gestión Hídrica El Soldado"/>
    <s v="[Gestión Hídrica El Soldado] Sector -300 Gateway"/>
    <x v="0"/>
    <d v="2025-08-25T00:00:00"/>
    <s v="Superintendencia de recursos hídricos "/>
    <s v=" Piscina UG-300 se regula la compuerta hacia el estero el gallo para mantener nivel de piscina, ya que, estaba con el nivel de agua alto se dejó en un 68% y bajando de a poco"/>
    <n v="3"/>
    <m/>
    <m/>
    <m/>
  </r>
  <r>
    <n v="81"/>
    <s v="Elías Sanchez"/>
    <s v="Ninguna respuesta seleccionada"/>
    <s v="Mantenimiento preventivo a puntos de inyección "/>
    <s v="Gestión Hídrica El Soldado"/>
    <s v="[Gestión Hídrica El Soldado] Pozo Inyección Barrera Hidráulica PI19"/>
    <x v="1"/>
    <d v="2025-08-25T00:00:00"/>
    <s v="Superintendencia de recursos hídricos "/>
    <s v="Se destraba válvula Vortex y se restringe la válvula de paso para corregir la situación "/>
    <n v="3"/>
    <m/>
    <m/>
    <m/>
  </r>
  <r>
    <n v="81"/>
    <s v="Elías Sanchez"/>
    <s v="Ninguna respuesta seleccionada"/>
    <s v="Mantenimiento preventivo a puntos de inyección "/>
    <s v="Gestión Hídrica El Soldado"/>
    <s v="[Gestión Hídrica El Soldado] Pozo Inyección Barrera Hidráulica PI18"/>
    <x v="1"/>
    <d v="2025-08-25T00:00:00"/>
    <s v="Superintendencia de recursos hídricos "/>
    <s v="Se destraba válvula Vortex y se restringe la válvula de paso para corregir la situación "/>
    <n v="3"/>
    <m/>
    <m/>
    <m/>
  </r>
  <r>
    <n v="81"/>
    <s v="Elías Sanchez"/>
    <s v="Ninguna respuesta seleccionada"/>
    <s v="Mantenimiento preventivo a puntos de inyección "/>
    <s v="Gestión Hídrica El Soldado"/>
    <s v="[Gestión Hídrica El Soldado] Pozo Inyección Barrera Hidráulica PI1 Nodo B22"/>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r>
  <r>
    <n v="81"/>
    <s v="Elías Sanchez"/>
    <s v="Ninguna respuesta seleccionada"/>
    <s v="Mantenimiento preventivo a puntos de inyección "/>
    <s v="Gestión Hídrica El Soldado"/>
    <s v="[Gestión Hídrica El Soldado] Pozo Inyección Barrera Hidráulica PI1 Nodo B22"/>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r>
  <r>
    <n v="81"/>
    <s v="Elías Sanchez"/>
    <s v="Ninguna respuesta seleccionada"/>
    <s v="Mantenimiento preventivo a puntos de inyección "/>
    <s v="Gestión Hídrica El Soldado"/>
    <s v="[Gestión Hídrica El Soldado] Pozo Inyección Barrera Hidráulica PI2 Nodo B21"/>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r>
  <r>
    <n v="81"/>
    <s v="Elías Sanchez"/>
    <s v="Ninguna respuesta seleccionada"/>
    <s v="Mantenimiento preventivo a puntos de inyección "/>
    <s v="Gestión Hídrica El Soldado"/>
    <s v="[Gestión Hídrica El Soldado] Pozo Inyección Barrera Hidráulica PI2 Nodo B21"/>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r>
  <r>
    <n v="78"/>
    <s v="David  Loncopan"/>
    <s v="Ninguna respuesta seleccionada"/>
    <s v="Revisión pozo 24 caudalimetro "/>
    <s v="ASP Pozos"/>
    <s v="[ASP Pozos] Pozo 24"/>
    <x v="0"/>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r>
  <r>
    <n v="76"/>
    <s v="Juan José López"/>
    <s v="Ninguna respuesta seleccionada"/>
    <s v="Conexión de sonda HL4 "/>
    <s v="Global Tórtolas"/>
    <s v="[Global Tórtolas] Pozo PMO 08 Nodo Nuevo"/>
    <x v="3"/>
    <d v="2025-08-25T00:00:00"/>
    <s v="Patricio Cortez"/>
    <s v="Se realiza configuración de las id de las variables que se van a leer. Esto se hace por programa hydrolab, en componente Sutron programa linkcomm y equipo Uc300 programa Toolbox. Fueron configurados y comprobados los datos obtenidos. "/>
    <n v="3"/>
    <m/>
    <m/>
    <m/>
  </r>
  <r>
    <n v="89"/>
    <s v="Ángel Zamora"/>
    <s v="Ninguna respuesta seleccionada"/>
    <s v="Mantenimiento "/>
    <s v="Gasco Ocean Spray"/>
    <s v="[Gasco Ocean Spray] Gasco Ocean Spray"/>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r>
  <r>
    <n v="89"/>
    <s v="Ángel Zamora"/>
    <s v="Ninguna respuesta seleccionada"/>
    <s v="Mantenimiento "/>
    <s v="Gasco Ocean Spray"/>
    <s v="[Gasco Ocean Spray] Gasco Ocean Spray"/>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r>
  <r>
    <n v="83"/>
    <s v="Diego Marchant"/>
    <s v="Ninguna respuesta seleccionada"/>
    <m/>
    <s v="Gestión Hídrica El Soldado"/>
    <s v="Bodega S. Recursos Hídricos "/>
    <x v="0"/>
    <d v="2025-08-26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r>
  <r>
    <n v="83"/>
    <s v="Diego Marchant"/>
    <s v="Ninguna respuesta seleccionada"/>
    <m/>
    <s v="Gestión Hídrica El Soldado"/>
    <s v="[Gestión Hídrica El Soldado] Pozo Inyección Barrera Hidráulica PI3 Nodo B3"/>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r>
  <r>
    <n v="83"/>
    <s v="Diego Marchant"/>
    <s v="Ninguna respuesta seleccionada"/>
    <m/>
    <s v="Gestión Hídrica El Soldado"/>
    <s v="[Gestión Hídrica El Soldado] Pozo Inyección Barrera Hidráulica PI3 Nodo B3"/>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r>
  <r>
    <n v="83"/>
    <s v="Diego Marchant"/>
    <s v="Ninguna respuesta seleccionada"/>
    <m/>
    <s v="Gestión Hídrica El Soldado"/>
    <s v="[Gestión Hídrica El Soldado] Pozo Inyección Barrera Hidráulica PI4 Nodo B2"/>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r>
  <r>
    <n v="83"/>
    <s v="Diego Marchant"/>
    <s v="Ninguna respuesta seleccionada"/>
    <m/>
    <s v="Gestión Hídrica El Soldado"/>
    <s v="[Gestión Hídrica El Soldado] Pozo Inyección Barrera Hidráulica PI4 Nodo B2"/>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r>
  <r>
    <n v="82"/>
    <s v="Emir Navarro Crocci"/>
    <s v="Ninguna respuesta seleccionada"/>
    <s v="Instalación y Configuración PMO-05"/>
    <s v="Las Tórtolas - SMA Res 31"/>
    <s v="Pozo Monitoreo PMO-05"/>
    <x v="3"/>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m/>
    <m/>
    <m/>
  </r>
  <r>
    <n v="88"/>
    <s v="Leonardo Gonzalez"/>
    <s v="Ninguna respuesta seleccionada"/>
    <s v="Instalación de sensores cortina 1 y cortina 2"/>
    <s v="Biodiversa - Cabrero"/>
    <s v="[Biodiversa - Cabrero] Biodiversa Cabrero Linea 1"/>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m/>
    <m/>
    <m/>
  </r>
  <r>
    <n v="88"/>
    <s v="Leonardo Gonzalez"/>
    <s v="Ninguna respuesta seleccionada"/>
    <s v="Instalación de sensores cortina 1 y cortina 2"/>
    <s v="Biodiversa"/>
    <s v="[Biodiversa] Biodiversa"/>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m/>
    <m/>
    <m/>
  </r>
  <r>
    <n v="87"/>
    <s v="David  Loncopan"/>
    <s v="Ninguna respuesta seleccionada"/>
    <s v="Capacitación plataforma ETWE"/>
    <s v="Apr la peña "/>
    <s v="Oficina "/>
    <x v="4"/>
    <d v="2025-08-27T00:00:00"/>
    <s v="APR La Peña"/>
    <s v="Se realiza capacitación exitosa del personal del apr respecto la funcionalidad de etwe"/>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5 Nodo B5"/>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6"/>
    <s v="Elías Sanchez"/>
    <s v="Ninguna respuesta seleccionada"/>
    <s v="Mantenciones preventivas"/>
    <s v="Gestión Hídrica El Soldado"/>
    <s v="[Gestión Hídrica El Soldado] Pozo Inyección Barrera Hidráulica PI6 Nodo B6"/>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r>
  <r>
    <n v="84"/>
    <s v="Juan José López"/>
    <s v="Ninguna respuesta seleccionada"/>
    <s v="Instalación de sonda multiparametrica "/>
    <s v="Resolución 31 "/>
    <s v="PMO-05"/>
    <x v="3"/>
    <d v="2025-08-27T00:00:00"/>
    <s v="Patricio Cortez "/>
    <s v="Queda pendiente hacer cambio de la sonda para comprobar y validar los datos "/>
    <n v="3"/>
    <m/>
    <m/>
    <m/>
  </r>
  <r>
    <n v="84"/>
    <s v="Juan José López"/>
    <s v="Ninguna respuesta seleccionada"/>
    <s v="Instalación de sonda multiparametrica "/>
    <s v="Global Tórtolas"/>
    <s v="[Global Tórtolas] Pozo PME 11 Nodo"/>
    <x v="3"/>
    <d v="2025-08-27T00:00:00"/>
    <s v="Patricio Cortez "/>
    <s v="Se instala sonda multiparametrica HL4 en recinto PME-11 pendiente de configuración las variables que se deben leer._x000a_En el equipo UC300 se encuentra configurado, solo está pendiente en equipo Sutron."/>
    <n v="3"/>
    <m/>
    <m/>
    <m/>
  </r>
  <r>
    <n v="92"/>
    <s v="Juan José López"/>
    <s v="Ninguna respuesta seleccionada"/>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r>
  <r>
    <n v="91"/>
    <s v="Elías Sanchez"/>
    <s v="Ninguna respuesta seleccionada"/>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r>
  <r>
    <n v="91"/>
    <s v="Elías Sanchez"/>
    <s v="Ninguna respuesta seleccionada"/>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Dren de Cap de Inflil (AO-1) Gateway B"/>
    <x v="1"/>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r>
  <r>
    <n v="91"/>
    <s v="Elías Sanchez"/>
    <s v="Ninguna respuesta seleccionada"/>
    <s v="Mantenimiento preventivo y soporte "/>
    <s v="Gestión Hídrica El Soldado"/>
    <s v="[Gestión Hídrica El Soldado] Pozo Inyección Barrera Hidráulica PI4 Nodo B2"/>
    <x v="1"/>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m/>
    <m/>
    <m/>
  </r>
  <r>
    <n v="90"/>
    <s v="Ángel Zamora"/>
    <s v="Ninguna respuesta seleccionada"/>
    <s v="Instalación de franjas reflectores en cortinas"/>
    <s v="Biodiversa - Cabrero"/>
    <s v="[Biodiversa - Cabrero] Biodiversa Cabrero Linea 1"/>
    <x v="3"/>
    <d v="2025-08-28T00:00:00"/>
    <s v="Biodiversa Cabrero "/>
    <s v="Queda operativo y se visualiza a distancia las cintas para operar cortinas hasta activación de finales de carrera"/>
    <n v="3"/>
    <m/>
    <m/>
    <m/>
  </r>
  <r>
    <n v="98"/>
    <s v="Emir Navarro Crocci"/>
    <s v="Ninguna respuesta seleccionada"/>
    <s v="Viaje a Calama "/>
    <s v="Codelco - Gasco RT"/>
    <s v="[Codelco - Gasco RT] Zona 1"/>
    <x v="5"/>
    <d v="2025-09-01T00:00:00"/>
    <s v="Gasco RT"/>
    <s v="Viaje ok, retiro de herramientas, gestiones ok"/>
    <n v="3"/>
    <m/>
    <m/>
    <m/>
  </r>
  <r>
    <n v="93"/>
    <s v="Elías Sanchez"/>
    <s v="Ninguna respuesta seleccionada"/>
    <s v="Mantenimiento preventivo "/>
    <s v="Gestión Hídrica El Soldado"/>
    <s v="[Gestión Hídrica El Soldado] Sector -300 Gateway"/>
    <x v="0"/>
    <d v="2025-09-01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r>
  <r>
    <n v="93"/>
    <s v="Elías Sanchez"/>
    <s v="Ninguna respuesta seleccionada"/>
    <s v="Mantenimiento preventivo "/>
    <s v="Gestión hídrica del soldado "/>
    <s v="PEM-01"/>
    <x v="6"/>
    <d v="2025-09-01T00:00:00"/>
    <s v="Gestión hídrica de el soldado "/>
    <s v="Se realiza entrega de caudalimetro mecánico a señor Diego Ramos de la empresa SS para su instalación y posterior configuración por parte de We-Techs "/>
    <n v="3"/>
    <m/>
    <m/>
    <m/>
  </r>
  <r>
    <n v="93"/>
    <s v="Elías Sanchez"/>
    <s v="Ninguna respuesta seleccionada"/>
    <s v="Mantenimiento preventivo "/>
    <s v="Gestión Hídrica El Soldado"/>
    <s v="[Gestión Hídrica El Soldado] Pozo Los Litres N° 01 (PLL-01) Nodo A12"/>
    <x v="5"/>
    <d v="2025-09-01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r>
  <r>
    <n v="93"/>
    <s v="Elías Sanchez"/>
    <s v="Ninguna respuesta seleccionada"/>
    <s v="Mantenimiento preventivo "/>
    <s v="Gestión Hídrica El Soldado"/>
    <s v="[Gestión Hídrica El Soldado] Pozo Los Litres N° 02 (PLL-02) Nodo A13"/>
    <x v="0"/>
    <d v="2025-09-01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r>
  <r>
    <n v="93"/>
    <s v="Elías Sanchez"/>
    <s v="Ninguna respuesta seleccionada"/>
    <s v="Mantenimiento preventivo "/>
    <s v="Gestión Hídrica El Soldado"/>
    <s v="[Gestión Hídrica El Soldado] PM-3 Nodo B19"/>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m/>
    <m/>
    <m/>
  </r>
  <r>
    <n v="93"/>
    <s v="Elías Sanchez"/>
    <s v="Ninguna respuesta seleccionada"/>
    <s v="Mantenimiento preventivo "/>
    <s v="Gestión Hídrica El Soldado"/>
    <s v="[Gestión Hídrica El Soldado] PM-4 Nodo B20"/>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m/>
    <m/>
    <m/>
  </r>
  <r>
    <n v="103"/>
    <s v="Rodrigo López"/>
    <s v="Ninguna respuesta seleccionada"/>
    <s v="Negocios"/>
    <s v="Global Tórtolas"/>
    <s v="[Global Tórtolas] Pozo PBM1"/>
    <x v="5"/>
    <d v="2025-09-02T00:00:00"/>
    <s v="RLC"/>
    <s v="OT prueba - firma retroactiva"/>
    <n v="2"/>
    <m/>
    <m/>
    <m/>
  </r>
  <r>
    <n v="99"/>
    <s v="Ángel Zamora"/>
    <s v="Ninguna respuesta seleccionada"/>
    <s v="Precomisamiento Gasco RT Zona 1"/>
    <s v="Codelco - Gasco RT"/>
    <s v="[Codelco - Gasco RT] Zona 1"/>
    <x v="3"/>
    <d v="2025-09-02T00:00:00"/>
    <s v="Gasco minería RT"/>
    <s v="Se avanza un estado total de instalación en zona 1 del 60% validado por personal de gasco."/>
    <n v="3"/>
    <m/>
    <m/>
    <m/>
  </r>
  <r>
    <n v="97"/>
    <s v="Elías Sanchez"/>
    <s v="Ninguna respuesta seleccionada"/>
    <s v="Mantenimiento preventivo/ cambio de sonda multiparamétrica "/>
    <s v="Gestión Hídrica El Soldado"/>
    <s v="[Gestión Hídrica El Soldado] Sector -300 Gateway"/>
    <x v="0"/>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r>
  <r>
    <n v="97"/>
    <s v="Elías Sanchez"/>
    <s v="Ninguna respuesta seleccionada"/>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r>
  <r>
    <n v="97"/>
    <s v="Elías Sanchez"/>
    <s v="Ninguna respuesta seleccionada"/>
    <s v="Mantenimiento preventivo/ cambio de sonda multiparamétrica "/>
    <s v="Gestión Hídrica El Soldado"/>
    <s v="[Gestión Hídrica El Soldado] PM-1 Nodo B17"/>
    <x v="1"/>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m/>
    <m/>
    <m/>
  </r>
  <r>
    <n v="96"/>
    <s v="Camilo Sandoval"/>
    <s v="Ninguna respuesta seleccionada"/>
    <s v="Instalación, revisión y pruebas de funcionamiento de sondas_x000a_multiparamétricas"/>
    <s v="Global Tórtolas"/>
    <s v="[Global Tórtolas] Pozo O4B"/>
    <x v="0"/>
    <d v="2025-09-02T00:00:00"/>
    <s v="Patricio Cortez"/>
    <s v="Se realiza inspección visual para la recopilación de imágenes e_x000a_informar a cliente que empresa externa aún no realiza la instalación de las válvulas de_x000a_bola en cuello de cisne que se encuentran pendientes."/>
    <n v="3"/>
    <m/>
    <m/>
    <m/>
  </r>
  <r>
    <n v="96"/>
    <s v="Camilo Sandoval"/>
    <s v="Ninguna respuesta seleccionada"/>
    <s v="Instalación, revisión y pruebas de funcionamiento de sondas_x000a_multiparamétricas"/>
    <s v="Global Tórtolas"/>
    <s v="[Global Tórtolas] Pozo P3G"/>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r>
  <r>
    <n v="96"/>
    <s v="Camilo Sandoval"/>
    <s v="Ninguna respuesta seleccionada"/>
    <s v="Instalación, revisión y pruebas de funcionamiento de sondas_x000a_multiparamétricas"/>
    <s v="Global Tórtolas"/>
    <s v="[Global Tórtolas] Pozo PMO 08 Nodo Nuevo"/>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r>
  <r>
    <n v="115"/>
    <s v="Cristopher Iglesias "/>
    <s v="Ninguna respuesta seleccionada"/>
    <s v="Visita R3050 - Los Bronces"/>
    <s v="Los Bronces - Riecillos"/>
    <s v="[Los Bronces - Riecillos] R3050 Caudalimetro C"/>
    <x v="0"/>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r>
  <r>
    <n v="115"/>
    <s v="Cristopher Iglesias "/>
    <s v="Ninguna respuesta seleccionada"/>
    <s v="Visita R3050 - Los Bronces"/>
    <s v="Los Bronces - Riecillos"/>
    <s v="[Los Bronces - Riecillos] R3050 Caudalimetro A"/>
    <x v="0"/>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r>
  <r>
    <n v="115"/>
    <s v="Cristopher Iglesias "/>
    <s v="Ninguna respuesta seleccionada"/>
    <s v="Visita R3050 - Los Bronces"/>
    <s v="Los Bronces - Riecillos"/>
    <s v="[Los Bronces - Riecillos] R3050 Caudalimetro E"/>
    <x v="0"/>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r>
  <r>
    <n v="102"/>
    <s v="Ángel Zamora"/>
    <s v="Ninguna respuesta seleccionada"/>
    <s v="Precomisamiento "/>
    <s v="Codelco - Gasco RT"/>
    <s v="[Codelco - Gasco RT] Zona 1"/>
    <x v="5"/>
    <d v="2025-09-03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r>
  <r>
    <n v="101"/>
    <s v="Elías Sanchez"/>
    <s v="Ninguna respuesta seleccionada"/>
    <s v="Instalación / soporte"/>
    <s v="Gestión Hídrica El Soldado"/>
    <s v="[Gestión Hídrica El Soldado] Mina UG Canaleta Mina Planta"/>
    <x v="0"/>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r>
  <r>
    <n v="101"/>
    <s v="Elías Sanchez"/>
    <s v="Ninguna respuesta seleccionada"/>
    <s v="Instalación / soporte"/>
    <s v="El Soldado Cachimba Relevadoras"/>
    <s v="[El Soldado Cachimba Relevadoras] Cachimba Relevadoras"/>
    <x v="0"/>
    <d v="2025-09-03T00:00:00"/>
    <s v="Superintendencia de recursos hídricos "/>
    <s v="Se acude a cachimba reelevadora para agregar usuario con la patente de camión en el sistema para que pueda realizar extracción de agua._x000a_No se presentan observaciones."/>
    <n v="3"/>
    <m/>
    <m/>
    <m/>
  </r>
  <r>
    <n v="101"/>
    <s v="Elías Sanchez"/>
    <s v="Ninguna respuesta seleccionada"/>
    <s v="Instalación / soporte"/>
    <s v="El Soldado Cachimba El Cobre"/>
    <s v="[El Soldado Cachimba El Cobre] El Soldado Cachimba el Cobre"/>
    <x v="0"/>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r>
  <r>
    <n v="101"/>
    <s v="Elías Sanchez"/>
    <s v="Ninguna respuesta seleccionada"/>
    <s v="Instalación / soporte"/>
    <s v="Gestión Hídrica El Soldado"/>
    <s v="[Gestión Hídrica El Soldado] Piscina 3800 desde V.B"/>
    <x v="0"/>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r>
  <r>
    <n v="101"/>
    <s v="Elías Sanchez"/>
    <s v="Ninguna respuesta seleccionada"/>
    <s v="Instalación / soporte"/>
    <s v="Gestión Hídrica El Soldado"/>
    <s v="[Gestión Hídrica El Soldado] PM-4 Nodo B20"/>
    <x v="0"/>
    <d v="2025-09-03T00:00:00"/>
    <s v="Superintendencia de recursos hídricos "/>
    <s v="Se acude a PM-4 para aplicar reset en el punto ya que no estaba enviando datos actualizados_x000a_ Queda transmitiendo a plataforma con verificación de variables congruentes."/>
    <n v="3"/>
    <m/>
    <m/>
    <m/>
  </r>
  <r>
    <n v="101"/>
    <s v="Elías Sanchez"/>
    <s v="Ninguna respuesta seleccionada"/>
    <s v="Instalación / soporte"/>
    <s v="Gestión hídrica el soldado "/>
    <s v="Entrega de materiales a SS"/>
    <x v="3"/>
    <d v="2025-09-03T00:00:00"/>
    <s v="Superintendencia de recursos hídricos "/>
    <s v="Se le hace entrega de materiales a SS para montar tablero, se entrega con los soportes y también una batería de 12V 55AH para poder instalar en VB y posterior conexionado por parte de W-Techs."/>
    <n v="3"/>
    <m/>
    <m/>
    <m/>
  </r>
  <r>
    <n v="100"/>
    <s v="Juan José López"/>
    <s v="Ninguna respuesta seleccionada"/>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r>
  <r>
    <n v="100"/>
    <s v="Juan José López"/>
    <s v="Ninguna respuesta seleccionada"/>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00"/>
    <s v="Juan José López"/>
    <s v="Ninguna respuesta seleccionada"/>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r>
  <r>
    <n v="114"/>
    <s v="Cristopher Iglesias "/>
    <s v="Ninguna respuesta seleccionada"/>
    <s v="Visita R2700 - Los Bronces "/>
    <s v="Los Bronces - Riecillos"/>
    <s v="[Los Bronces - Riecillos] R2700 Caudalimetro B"/>
    <x v="0"/>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r>
  <r>
    <n v="114"/>
    <s v="Cristopher Iglesias "/>
    <s v="Ninguna respuesta seleccionada"/>
    <s v="Visita R2700 - Los Bronces "/>
    <s v="Los Bronces - Riecillos"/>
    <s v="[Los Bronces - Riecillos] R2700 Gateway"/>
    <x v="0"/>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r>
  <r>
    <n v="106"/>
    <s v="Ángel Zamora"/>
    <s v="Ninguna respuesta seleccionada"/>
    <s v="ProCom Zona 1"/>
    <s v="Codelco - Gasco RT"/>
    <s v="[Codelco - Gasco RT] Zona 1"/>
    <x v="3"/>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m/>
    <m/>
    <m/>
  </r>
  <r>
    <n v="105"/>
    <s v="Camilo Sandoval"/>
    <s v="Ninguna respuesta seleccionada"/>
    <s v="Instalación de Tablero Lora e integración de instrumento caudalimetro"/>
    <s v="Gestión Hídrica El Soldado"/>
    <s v="[Gestión Hídrica El Soldado] Zona Veta Blanca Gateway ZM"/>
    <x v="0"/>
    <d v="2025-09-04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r>
  <r>
    <n v="105"/>
    <s v="Camilo Sandoval"/>
    <s v="Ninguna respuesta seleccionada"/>
    <s v="Instalación de Tablero Lora e integración de instrumento caudalimetro"/>
    <s v="Gestión Hídrica El Soldado"/>
    <s v="[Gestión Hídrica El Soldado] Sector -300 Gateway"/>
    <x v="0"/>
    <d v="2025-09-04T00:00:00"/>
    <s v="Gestión Hídrica El Soldado "/>
    <s v="Se atiende a contigencia para realizar apertura de válvula permitiendo el paso flujo desde piscina UG hacia piscina 3800"/>
    <n v="3"/>
    <m/>
    <m/>
    <m/>
  </r>
  <r>
    <n v="105"/>
    <s v="Camilo Sandoval"/>
    <s v="Ninguna respuesta seleccionada"/>
    <s v="Instalación de Tablero Lora e integración de instrumento caudalimetro"/>
    <s v="Gestión Hídrica El Soldado"/>
    <s v="[Gestión Hídrica El Soldado] Zona Veta Blanca Gateway ZM"/>
    <x v="3"/>
    <d v="2025-09-04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m/>
    <m/>
    <m/>
  </r>
  <r>
    <n v="104"/>
    <s v="Juan José López"/>
    <s v="Ninguna respuesta seleccionada"/>
    <s v="Instalación solución flowcell "/>
    <s v="Global Tórtolas"/>
    <s v="[Global Tórtolas] Pozo PBM1"/>
    <x v="3"/>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m/>
    <m/>
    <m/>
  </r>
  <r>
    <n v="110"/>
    <s v="Camilo Sandoval"/>
    <s v="Ninguna respuesta seleccionada"/>
    <s v="Retiro y cambio de sondas multiparametricas "/>
    <s v="Abastible - PSR La Estrella"/>
    <s v="[Abastible - PSR La Estrella] Abastible - PSR La Estrella"/>
    <x v="0"/>
    <d v="2025-09-05T00:00:00"/>
    <s v="Gestión Hídrica El Soldado "/>
    <s v="Se realiza retiro de sonda multiparametrica para su calibración, dejando instalada operativa y en funcionamiento una de manera provisoria."/>
    <n v="3"/>
    <m/>
    <m/>
    <m/>
  </r>
  <r>
    <n v="110"/>
    <s v="Camilo Sandoval"/>
    <s v="Ninguna respuesta seleccionada"/>
    <s v="Retiro y cambio de sondas multiparametricas "/>
    <s v="Gestión Hídrica El Soldado"/>
    <s v="[Gestión Hídrica El Soldado] Estero El Cobre (ET-0F) Nodo B"/>
    <x v="0"/>
    <d v="2025-09-05T00:00:00"/>
    <s v="Gestión Hídrica El Soldado "/>
    <s v="Se realiza retiro de sonda multiparametrica para su calibración, dejando instalada operativa y en funcionamiento una de manera provisoria."/>
    <n v="3"/>
    <m/>
    <m/>
    <m/>
  </r>
  <r>
    <n v="110"/>
    <s v="Camilo Sandoval"/>
    <s v="Ninguna respuesta seleccionada"/>
    <s v="Retiro y cambio de sondas multiparametricas "/>
    <s v="Gestión Hídrica El Soldado"/>
    <s v="[Gestión Hídrica El Soldado] Pozo N° 3A (P3A) Nodo B1"/>
    <x v="0"/>
    <d v="2025-09-05T00:00:00"/>
    <s v="Gestión Hídrica El Soldado "/>
    <s v="Se realiza retiro de sonda multiparametrica para su calibración, dejando instalada operativa y en funcionamiento una de manera provisoria."/>
    <n v="3"/>
    <m/>
    <m/>
    <m/>
  </r>
  <r>
    <n v="108"/>
    <s v="Juan José López"/>
    <s v="Ninguna respuesta seleccionada"/>
    <s v="Instalación de resolución 31 "/>
    <s v="Global Tórtolas"/>
    <s v="[Global Tórtolas] Pozo PBM3"/>
    <x v="3"/>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08"/>
    <s v="Juan José López"/>
    <s v="Ninguna respuesta seleccionada"/>
    <s v="Instalación de resolución 31 "/>
    <s v="Global Tórtolas"/>
    <s v="[Global Tórtolas] Pozo PBM2"/>
    <x v="3"/>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m/>
    <m/>
    <m/>
  </r>
  <r>
    <n v="112"/>
    <s v="Juan José López"/>
    <s v="Ninguna respuesta seleccionada"/>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r>
  <r>
    <n v="112"/>
    <s v="Juan José López"/>
    <s v="Ninguna respuesta seleccionada"/>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r>
  <r>
    <n v="111"/>
    <s v="Leonardo Gonzalez"/>
    <s v="Ninguna respuesta seleccionada"/>
    <s v="Mantenimiento preventivo "/>
    <s v="Gestión Hídrica El Soldado"/>
    <s v="[Gestión Hídrica El Soldado] PM-2 Nodo B18"/>
    <x v="0"/>
    <d v="2025-09-08T00:00:00"/>
    <s v="Superintendencia de recursos hidricos "/>
    <s v="Realizamos mantenimiento preventivo._x000a_Limpieza de panel solar._x000a_Reapriete de conexión._x000a_Limpieza de tableros._x000a_Revisión en plataforma "/>
    <n v="3"/>
    <m/>
    <m/>
    <m/>
  </r>
  <r>
    <n v="111"/>
    <s v="Leonardo Gonzalez"/>
    <s v="Ninguna respuesta seleccionada"/>
    <s v="Mantenimiento preventivo "/>
    <s v="Gestión Hídrica El Soldado"/>
    <s v="[Gestión Hídrica El Soldado] Pozo El Melón N° 01 (PEM-01) Nodo"/>
    <x v="0"/>
    <d v="2025-09-08T00:00:00"/>
    <s v="Superintendencia de recursos hidricos "/>
    <s v="Se coordina con SS para realizar los trabajos de montaje del caudalimetro y modificar pi ping por parte de ellos._x000a_Se explica en terreno lo que deben realizar. _x000a_"/>
    <n v="3"/>
    <m/>
    <m/>
    <m/>
  </r>
  <r>
    <n v="111"/>
    <s v="Leonardo Gonzalez"/>
    <s v="Ninguna respuesta seleccionada"/>
    <s v="Mantenimiento preventivo "/>
    <s v="Gestión Hídrica El Soldado"/>
    <s v="[Gestión Hídrica El Soldado] Pozo Los Litres N° 05 (PLL-05)"/>
    <x v="0"/>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r>
  <r>
    <n v="118"/>
    <s v="Leonardo Gonzalez"/>
    <s v="Ninguna respuesta seleccionada"/>
    <s v="Mantenimiento preventivo "/>
    <s v="Gestión Hídrica El Soldado"/>
    <s v="[Gestión Hídrica El Soldado] Sector -300 Gateway"/>
    <x v="0"/>
    <d v="2025-09-09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r>
  <r>
    <n v="118"/>
    <s v="Leonardo Gonzalez"/>
    <s v="Ninguna respuesta seleccionada"/>
    <s v="Mantenimiento preventivo "/>
    <s v="Gestión Hídrica El Soldado"/>
    <s v="[Gestión Hídrica El Soldado] Pozo El Melón N° 01 (PEM-01) Nodo"/>
    <x v="0"/>
    <d v="2025-09-09T00:00:00"/>
    <s v="Superintendencia de recursos hidricos "/>
    <s v="Se comunica con empresa SS para saber em estatus de los trabajos de instalación que fueron solicitados."/>
    <n v="3"/>
    <m/>
    <m/>
    <m/>
  </r>
  <r>
    <n v="118"/>
    <s v="Leonardo Gonzalez"/>
    <s v="Ninguna respuesta seleccionada"/>
    <s v="Mantenimiento preventivo "/>
    <s v="Gestión Hídrica El Soldado"/>
    <s v="[Gestión Hídrica El Soldado] Pozo Los Litres N° 05 (PLL-05)"/>
    <x v="3"/>
    <d v="2025-09-09T00:00:00"/>
    <s v="Superintendencia de recursos hidricos "/>
    <s v="Realizamos instalación de tapón pvc para instalación de sensor._x000a_Realizamos la medición de sensor de nivel realizando marcas cada 5 mts ._x000a_Se realizo instalación de sensor de nivel a 74 mts de profundidad."/>
    <n v="3"/>
    <m/>
    <m/>
    <m/>
  </r>
  <r>
    <n v="117"/>
    <s v="Elías Sanchez"/>
    <s v="Ninguna respuesta seleccionada"/>
    <s v="Montaje de cilindro para sonda multiparamétrica."/>
    <s v="SMA res 31 "/>
    <s v="Oficina"/>
    <x v="0"/>
    <d v="2025-09-09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r>
  <r>
    <n v="117"/>
    <s v="Elías Sanchez"/>
    <s v="Ninguna respuesta seleccionada"/>
    <s v="Montaje de cilindro para sonda multiparamétrica."/>
    <s v="Global Tórtolas"/>
    <s v="[Global Tórtolas] Pozo O4B"/>
    <x v="3"/>
    <d v="2025-09-09T00:00:00"/>
    <s v="Patricio Cortes "/>
    <s v="Se realiza montaje de cilindro acrílico y microtubo para la llegada del agua a flowcell, el cual también se instala._x000a_Queda pendiente la instalación e integración de la sonda en plataforma."/>
    <n v="3"/>
    <m/>
    <m/>
    <m/>
  </r>
  <r>
    <n v="117"/>
    <s v="Elías Sanchez"/>
    <s v="Ninguna respuesta seleccionada"/>
    <s v="Montaje de cilindro para sonda multiparamétrica."/>
    <s v="Global Tórtolas"/>
    <s v="[Global Tórtolas] Pozo O4B"/>
    <x v="3"/>
    <d v="2025-09-09T00:00:00"/>
    <s v="Patricio Cortes "/>
    <s v="Se realiza montaje de cilindro acrílico y microtubo para la llegada del agua a flowcell, el cual también se instala._x000a_Queda pendiente la instalación e integración de la sonda en plataforma."/>
    <n v="3"/>
    <m/>
    <m/>
    <m/>
  </r>
  <r>
    <n v="116"/>
    <s v="Juan José López"/>
    <s v="Ninguna respuesta seleccionada"/>
    <s v="Integración de sonda multiparametrica "/>
    <s v="Global Tórtolas"/>
    <s v="[Global Tórtolas] Pozo PBM2"/>
    <x v="3"/>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m/>
    <m/>
    <m/>
  </r>
  <r>
    <n v="116"/>
    <s v="Juan José López"/>
    <s v="Ninguna respuesta seleccionada"/>
    <s v="Integración de sonda multiparametrica "/>
    <s v="Proyecto no especificado"/>
    <s v="Ninguna respuesta seleccionada"/>
    <x v="3"/>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m/>
    <m/>
    <m/>
  </r>
  <r>
    <n v="121"/>
    <s v="Elías Sanchez"/>
    <s v="Ninguna respuesta seleccionada"/>
    <s v="Montaje estructura para sonda multiparamétrica "/>
    <s v="Proyecto no especificado"/>
    <s v="Ninguna respuesta seleccionada"/>
    <x v="3"/>
    <d v="2025-09-10T00:00:00"/>
    <s v="Patricio Cortes "/>
    <s v="Se realiza montaje de cilindro para almacenar la sonda multiparamétrica. Además se realiza la  canalización de microtubo azul que pasa por flowcell. _x000a_"/>
    <n v="3"/>
    <m/>
    <m/>
    <m/>
  </r>
  <r>
    <n v="121"/>
    <s v="Elías Sanchez"/>
    <s v="Ninguna respuesta seleccionada"/>
    <s v="Montaje estructura para sonda multiparamétrica "/>
    <s v="Proyecto no especificado"/>
    <s v="Ninguna respuesta seleccionada"/>
    <x v="3"/>
    <d v="2025-09-10T00:00:00"/>
    <s v="Patricio Cortes "/>
    <s v="Se realiza montaje de cilindro para almacenar sonda multiparamétrica. Además se realiza la  canalización de microtubo azul que pasa por flowcell. "/>
    <n v="3"/>
    <m/>
    <m/>
    <m/>
  </r>
  <r>
    <n v="120"/>
    <s v="Camilo Sandoval"/>
    <s v="Ninguna respuesta seleccionada"/>
    <s v="Levantamiento e instalación de case"/>
    <s v="Global Tórtolas"/>
    <s v="[Global Tórtolas] Pozo PBM4"/>
    <x v="3"/>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m/>
    <m/>
    <m/>
  </r>
  <r>
    <n v="119"/>
    <s v="Diego Marchant"/>
    <s v="Ninguna respuesta seleccionada"/>
    <s v="Conexionado de instrumentación y mantenimiento preventivo."/>
    <s v="Gestión Hídrica El Soldado"/>
    <s v="[Gestión Hídrica El Soldado] Pozo N° 3B (P3B) Nodo B4"/>
    <x v="0"/>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ozo El Melón N° 01 (PEM-01) Nodo"/>
    <x v="3"/>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m/>
    <m/>
    <m/>
  </r>
  <r>
    <n v="119"/>
    <s v="Diego Marchant"/>
    <s v="Ninguna respuesta seleccionada"/>
    <s v="Conexionado de instrumentación y mantenimiento preventivo."/>
    <s v="Gestión Hídrica El Soldado"/>
    <s v="[Gestión Hídrica El Soldado] Pozo N° 3B (P3B) Nodo B4"/>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ozo N° 3B (P3B) Nodo B4"/>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r>
  <r>
    <n v="119"/>
    <s v="Diego Marchant"/>
    <s v="Ninguna respuesta seleccionada"/>
    <s v="Conexionado de instrumentación y mantenimiento preventivo."/>
    <s v="Gestión Hídrica El Soldado"/>
    <s v="[Gestión Hídrica El Soldado] Piscina 3800 desde V.B"/>
    <x v="2"/>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m/>
    <m/>
    <m/>
  </r>
  <r>
    <n v="119"/>
    <s v="Diego Marchant"/>
    <s v="Ninguna respuesta seleccionada"/>
    <s v="Conexionado de instrumentación y mantenimiento preventivo."/>
    <s v="Gestión Hídrica El Soldado"/>
    <s v="[Gestión Hídrica El Soldado] Lora Piscina 3800"/>
    <x v="2"/>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m/>
    <m/>
    <m/>
  </r>
  <r>
    <n v="124"/>
    <s v="Elías Sanchez"/>
    <s v="Ninguna respuesta seleccionada"/>
    <s v="Reemplazo de componentes, apoyo a grupo 1"/>
    <s v="Global Tórtolas"/>
    <s v="[Global Tórtolas] Pozo Dren MO Gateway"/>
    <x v="3"/>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m/>
    <m/>
    <m/>
  </r>
  <r>
    <n v="124"/>
    <s v="Elías Sanchez"/>
    <s v="Ninguna respuesta seleccionada"/>
    <s v="Reemplazo de componentes, apoyo a grupo 1"/>
    <s v="Global Tórtolas"/>
    <s v="[Global Tórtolas] Pozo PBM4"/>
    <x v="3"/>
    <d v="2025-09-11T00:00:00"/>
    <s v="Patricio Cortes "/>
    <s v="Se realiza canalización de microtubo para la llegada desde válvula hacia flowcell de sonda multiparamétrica "/>
    <n v="3"/>
    <m/>
    <m/>
    <m/>
  </r>
  <r>
    <n v="123"/>
    <s v="Leonardo Gonzalez"/>
    <s v="Ninguna respuesta seleccionada"/>
    <s v="Mantenimiento preventivo "/>
    <s v="Gestión Hídrica El Soldado"/>
    <s v="[Gestión Hídrica El Soldado] Pozo N° 3B (P3B) Nodo B4"/>
    <x v="0"/>
    <d v="2025-09-11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r>
  <r>
    <n v="123"/>
    <s v="Leonardo Gonzalez"/>
    <s v="Ninguna respuesta seleccionada"/>
    <s v="Mantenimiento preventivo "/>
    <s v="Gestión Hídrica El Soldado"/>
    <s v="[Gestión Hídrica El Soldado] Pozo Los Litres N° 05 (PLL-05)"/>
    <x v="0"/>
    <d v="2025-09-11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r>
  <r>
    <n v="123"/>
    <s v="Leonardo Gonzalez"/>
    <s v="Ninguna respuesta seleccionada"/>
    <s v="Mantenimiento preventivo "/>
    <s v="Gestión Hídrica El Soldado"/>
    <s v="[Gestión Hídrica El Soldado] Dren de Cap de Inflil (AO-1) Gateway B"/>
    <x v="0"/>
    <d v="2025-09-11T00:00:00"/>
    <s v="Superintendencia de recursos hidricos "/>
    <s v="Se procede a reemplazar sonda multiparametrica del punto para llevar a calibración. _x000a_Realizamos cableado nuevo para mejorar la instalación y hacer más eficiente cada vez que se reemplace."/>
    <n v="3"/>
    <m/>
    <m/>
    <m/>
  </r>
  <r>
    <n v="122"/>
    <s v="Juan José López"/>
    <s v="Ninguna respuesta seleccionada"/>
    <s v="Integración de sondas y soluciones flowcell "/>
    <s v="Proyecto no especificado"/>
    <s v="Ninguna respuesta seleccionada"/>
    <x v="3"/>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2"/>
    <s v="Juan José López"/>
    <s v="Ninguna respuesta seleccionada"/>
    <s v="Integración de sondas y soluciones flowcell "/>
    <s v="Global Tórtolas"/>
    <s v="[Global Tórtolas] Pozo O4B"/>
    <x v="3"/>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m/>
    <m/>
    <m/>
  </r>
  <r>
    <n v="122"/>
    <s v="Juan José López"/>
    <s v="Ninguna respuesta seleccionada"/>
    <s v="Integración de sondas y soluciones flowcell "/>
    <s v="Global Tórtolas"/>
    <s v="[Global Tórtolas] Pozo PBM4"/>
    <x v="3"/>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r>
  <r>
    <n v="122"/>
    <s v="Juan José López"/>
    <s v="Ninguna respuesta seleccionada"/>
    <s v="Integración de sondas y soluciones flowcell "/>
    <s v="Proyecto no especificado"/>
    <s v="Ninguna respuesta seleccionada"/>
    <x v="3"/>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r>
  <r>
    <n v="122"/>
    <s v="Juan José López"/>
    <s v="Ninguna respuesta seleccionada"/>
    <s v="Integración de sondas y soluciones flowcell "/>
    <s v="Proyecto no especificado"/>
    <s v="Ninguna respuesta seleccionada"/>
    <x v="3"/>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m/>
    <m/>
    <m/>
  </r>
  <r>
    <n v="126"/>
    <s v="Leonardo Gonzalez"/>
    <s v="Ninguna respuesta seleccionada"/>
    <s v="Mantenimiento preventivo "/>
    <s v="Gestión Hídrica El Soldado"/>
    <s v="[Gestión Hídrica El Soldado] Dren de Cap de Inflil (AO-1) Gateway B"/>
    <x v="0"/>
    <d v="2025-09-12T00:00:00"/>
    <s v="Superintendencia de recursos hidricos "/>
    <s v="Se configura PLC para dejar leyendo sonda multiparametrica que fue reemplazada."/>
    <n v="3"/>
    <m/>
    <m/>
    <m/>
  </r>
  <r>
    <n v="126"/>
    <s v="Leonardo Gonzalez"/>
    <s v="Ninguna respuesta seleccionada"/>
    <s v="Mantenimiento preventivo "/>
    <s v="Gestión Hídrica El Soldado"/>
    <s v="[Gestión Hídrica El Soldado] Zona Veta Blanca Gateway ZM"/>
    <x v="0"/>
    <d v="2025-09-12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r>
  <r>
    <n v="126"/>
    <s v="Leonardo Gonzalez"/>
    <s v="Ninguna respuesta seleccionada"/>
    <s v="Mantenimiento preventivo "/>
    <s v="Gestión Hídrica El Soldado"/>
    <s v="[Gestión Hídrica El Soldado] Zona Veta Blanca Gateway ZM"/>
    <x v="0"/>
    <d v="2025-09-12T00:00:00"/>
    <s v="Superintendencia de recursos hidricos "/>
    <s v="Por solicitud del cliente se realiza levantamiento del sector cachimba veta blanca.  Necesitan autorización del sector y lectura de estados."/>
    <n v="3"/>
    <m/>
    <m/>
    <m/>
  </r>
  <r>
    <n v="125"/>
    <s v="Juan José López"/>
    <s v="Ninguna respuesta seleccionada"/>
    <s v="Integración sonda multiparametrica  "/>
    <s v="Proyecto no especificado"/>
    <s v="Ninguna respuesta seleccionada"/>
    <x v="3"/>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5"/>
    <s v="Juan José López"/>
    <s v="Ninguna respuesta seleccionada"/>
    <s v="Integración sonda multiparametrica  "/>
    <s v="Proyecto no especificado"/>
    <s v="Ninguna respuesta seleccionada"/>
    <x v="3"/>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r>
  <r>
    <n v="129"/>
    <s v="Elías Sanchez"/>
    <s v="Ninguna respuesta seleccionada"/>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r>
  <r>
    <n v="129"/>
    <s v="Elías Sanchez"/>
    <s v="Ninguna respuesta seleccionada"/>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r>
  <r>
    <n v="133"/>
    <s v="Camilo Sandoval"/>
    <s v="Ninguna respuesta seleccionada"/>
    <s v="Integración de sonda, reconocimiento pozo PP31."/>
    <s v="Global Tórtolas"/>
    <s v="[Global Tórtolas] Pozo Dren ME Nodo"/>
    <x v="3"/>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m/>
    <m/>
    <m/>
  </r>
  <r>
    <n v="132"/>
    <s v="Tomás Bustamante"/>
    <s v="Ninguna respuesta seleccionada"/>
    <s v="Revisión señal caudalimetro"/>
    <s v="Estadio Español"/>
    <s v="[Estadio Español] Estanques B.Elev"/>
    <x v="0"/>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r>
  <r>
    <n v="130"/>
    <s v="David  Loncopan"/>
    <s v="Ninguna respuesta seleccionada"/>
    <s v="Revisión en terreno de impacto de la incidencia de nivel de estanque producto retardo de RC"/>
    <s v="Viñas de Chicureo"/>
    <s v="[Viñas de Chicureo] Estanque"/>
    <x v="0"/>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r>
  <r>
    <n v="130"/>
    <s v="David  Loncopan"/>
    <s v="Ninguna respuesta seleccionada"/>
    <s v="Revisión en terreno de impacto de la incidencia de nivel de estanque producto retardo de RC"/>
    <s v="Viñas de Chicureo"/>
    <s v="[Viñas de Chicureo] Pozo 1"/>
    <x v="0"/>
    <d v="2025-09-16T00:00:00"/>
    <s v="Viñas de Chicureo"/>
    <s v="Actualizaciones de dispositivos "/>
    <n v="3"/>
    <m/>
    <m/>
    <m/>
  </r>
  <r>
    <n v="136"/>
    <s v="Juan José López"/>
    <s v="Ninguna respuesta seleccionada"/>
    <s v="Integración sonda multiparametrica "/>
    <s v="Global Tórtolas"/>
    <s v="[Global Tórtolas] Pozo Dren ME Nodo"/>
    <x v="3"/>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m/>
    <m/>
    <m/>
  </r>
  <r>
    <n v="138"/>
    <s v="Leonardo Gonzalez"/>
    <s v="Ninguna respuesta seleccionada"/>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r>
  <r>
    <n v="139"/>
    <s v="Ángel Zamora"/>
    <s v="Ninguna respuesta seleccionada"/>
    <s v="Precomisamiento zona 2.1 y zona 2.2"/>
    <s v="Codelco - Gasco RT"/>
    <s v="[Codelco - Gasco RT] Zona 2"/>
    <x v="3"/>
    <d v="2025-09-22T00:00:00"/>
    <s v="Gasco RT"/>
    <s v="Día de trabajos administrativos, se realiza el viaje de ida, retiro de materiales en starken, ida a sodimac para Compra de insumos para montaje de Adam's, Compra de insumos básicos para departamento ya que no es hotel."/>
    <n v="3"/>
    <m/>
    <m/>
    <m/>
  </r>
  <r>
    <n v="144"/>
    <s v="Ángel Zamora"/>
    <s v="Ninguna respuesta seleccionada"/>
    <s v="Precom Zona 2.1"/>
    <s v="Codelco - Gasco RT"/>
    <s v="[Codelco - Gasco RT] Zona 2"/>
    <x v="3"/>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m/>
    <m/>
    <m/>
  </r>
  <r>
    <n v="143"/>
    <s v="David  Loncopan"/>
    <s v="Ninguna respuesta seleccionada"/>
    <s v="Revisión de conexión pozo 7 "/>
    <s v="Brisaguas - La Cruz"/>
    <s v="[Brisaguas - La Cruz] Pozo 7"/>
    <x v="0"/>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r>
  <r>
    <n v="150"/>
    <s v="Ángel Zamora"/>
    <s v="Ninguna respuesta seleccionada"/>
    <s v="Precomisamiento Zona 2.2"/>
    <s v="Codelco - Gasco RT"/>
    <s v="[Codelco - Gasco RT] Zona 2"/>
    <x v="3"/>
    <d v="2025-09-24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m/>
    <m/>
    <m/>
  </r>
  <r>
    <n v="148"/>
    <s v="Leonardo Gonzalez"/>
    <s v="Ninguna respuesta seleccionada"/>
    <m/>
    <s v="Gestión Hídrica El Soldado"/>
    <s v="[Gestión Hídrica El Soldado] Sector -300 Gateway"/>
    <x v="0"/>
    <d v="2025-09-24T00:00:00"/>
    <s v="Gestión hidrica el soldado "/>
    <s v="Por solicitud del cliente se realiza ajuste de válvula hacia piscina 3800. Dejando un flujo de 20 l/s_x000a_Se realizo además configuración de equipo solar."/>
    <n v="3"/>
    <m/>
    <m/>
    <m/>
  </r>
  <r>
    <n v="148"/>
    <s v="Leonardo Gonzalez"/>
    <s v="Ninguna respuesta seleccionada"/>
    <m/>
    <s v="Gestión Hídrica El Soldado"/>
    <s v="[Gestión Hídrica El Soldado] Piscina 3800 desde V.B"/>
    <x v="0"/>
    <d v="2025-09-24T00:00:00"/>
    <s v="Gestión hidrica el soldado "/>
    <s v="Por solicitud del cliente se realiza levantamiento en recinto de la matriz que va piscina 3800 desde veta blanca. Para saber si es factible instalación de válvula hacia estero."/>
    <n v="3"/>
    <m/>
    <m/>
    <m/>
  </r>
  <r>
    <n v="148"/>
    <s v="Leonardo Gonzalez"/>
    <s v="Ninguna respuesta seleccionada"/>
    <m/>
    <s v="Gestión hidrica el soldado Reforestacion"/>
    <s v="Reforestacion"/>
    <x v="0"/>
    <d v="2025-09-24T00:00:00"/>
    <s v="Gestión hidrica el soldado "/>
    <s v="Por solicitud del cliente se realiza levantamiento en punto de reforestacion para ver lugar adonde instalar caudalimetro, poste y panel solar._x000a_"/>
    <n v="3"/>
    <m/>
    <m/>
    <m/>
  </r>
  <r>
    <n v="148"/>
    <s v="Leonardo Gonzalez"/>
    <s v="Ninguna respuesta seleccionada"/>
    <m/>
    <s v="Gestión Hídrica El Soldado"/>
    <s v="[Gestión Hídrica El Soldado] Estero El Cobre (ET-0F) Nodo B"/>
    <x v="0"/>
    <d v="2025-09-24T00:00:00"/>
    <s v="Gestión hidrica el soldado "/>
    <s v="Se realizo instalación de sonda multiparametrica que pertenece al punto. Esta había sido enviada a calibración. "/>
    <n v="3"/>
    <m/>
    <m/>
    <m/>
  </r>
  <r>
    <n v="148"/>
    <s v="Leonardo Gonzalez"/>
    <s v="Ninguna respuesta seleccionada"/>
    <m/>
    <s v="Gestión Hídrica El Soldado"/>
    <s v="[Gestión Hídrica El Soldado] PM-2 Nodo B18"/>
    <x v="0"/>
    <d v="2025-09-24T00:00:00"/>
    <s v="Gestión hidrica el soldado "/>
    <s v="Se realizo instalación de sonda multiparametrica que pertenece al punto. Esta había sido enviada a calibración. "/>
    <n v="3"/>
    <m/>
    <m/>
    <m/>
  </r>
  <r>
    <n v="148"/>
    <s v="Leonardo Gonzalez"/>
    <s v="Ninguna respuesta seleccionada"/>
    <m/>
    <s v="Gestión Hídrica El Soldado"/>
    <s v="[Gestión Hídrica El Soldado] Pozo N° 3A (P3A) Nodo B1"/>
    <x v="0"/>
    <d v="2025-09-24T00:00:00"/>
    <s v="Gestión hidrica el soldado "/>
    <s v="Se realizo instalación de sonda multiparametrica que pertenece al punto. Esta había sido enviada a calibración. "/>
    <n v="3"/>
    <m/>
    <m/>
    <m/>
  </r>
  <r>
    <n v="154"/>
    <s v="Juan José López"/>
    <s v="Ninguna respuesta seleccionada"/>
    <s v="Integración de sonda multiparametrica HL4"/>
    <s v="Global Tórtolas"/>
    <s v="[Global Tórtolas] Pozo Dren MP Nodo Nuevo"/>
    <x v="3"/>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m/>
    <m/>
    <m/>
  </r>
  <r>
    <n v="153"/>
    <s v="Leonardo Gonzalez"/>
    <s v="Ninguna respuesta seleccionada"/>
    <s v="Mantenimiento preventivo "/>
    <s v="Gestión Hídrica El Soldado"/>
    <s v="[Gestión Hídrica El Soldado] Pozo N° 3A (P3A) Nodo B1"/>
    <x v="0"/>
    <d v="2025-09-25T00:00:00"/>
    <s v="Recursos hidricos el soldado "/>
    <s v="Se realizo canalización pendiente para sonda multiparametrica y sensor de nivel, desde tablero hasta pozo."/>
    <n v="3"/>
    <m/>
    <m/>
    <m/>
  </r>
  <r>
    <n v="153"/>
    <s v="Leonardo Gonzalez"/>
    <s v="Ninguna respuesta seleccionada"/>
    <s v="Mantenimiento preventivo "/>
    <s v="Gestión Hídrica El Soldado"/>
    <s v="[Gestión Hídrica El Soldado] Pozo Los Litres N° 01 (PLL-01) Nodo A12"/>
    <x v="0"/>
    <d v="2025-09-25T00:00:00"/>
    <s v="Recursos hidricos el soldado "/>
    <s v="Realizamos instalación de sonda multiparametrica de reemplazo mientras se lleva a calibración la que pertenece al punto."/>
    <n v="3"/>
    <m/>
    <m/>
    <m/>
  </r>
  <r>
    <n v="153"/>
    <s v="Leonardo Gonzalez"/>
    <s v="Ninguna respuesta seleccionada"/>
    <s v="Mantenimiento preventivo "/>
    <s v="Gestión Hídrica El Soldado"/>
    <s v="[Gestión Hídrica El Soldado] Pozo Los Litres N° 02 (PLL-02) Nodo A13"/>
    <x v="0"/>
    <d v="2025-09-25T00:00:00"/>
    <s v="Recursos hidricos el soldado "/>
    <s v="Realizamos instalación de sonda multiparametrica de reemplazo mientras se lleva a calibración la que pertenece al punto"/>
    <n v="3"/>
    <m/>
    <m/>
    <m/>
  </r>
  <r>
    <n v="161"/>
    <s v="Juan José López"/>
    <s v="Ninguna respuesta seleccionada"/>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r>
  <r>
    <n v="155"/>
    <s v="Leonardo Gonzalez"/>
    <s v="Ninguna respuesta seleccionada"/>
    <s v="Mantenimiento preventivo "/>
    <s v="Gestión hidrica el soldado"/>
    <s v="Estanque caseta el melon "/>
    <x v="0"/>
    <d v="2025-09-26T00:00:00"/>
    <s v="Gestión hidrica el soldado "/>
    <s v="Se realizo instalación de sonda multiparametrica  provisoria para enviar la del punto a calibración. "/>
    <n v="5"/>
    <m/>
    <m/>
    <m/>
  </r>
  <r>
    <n v="155"/>
    <s v="Leonardo Gonzalez"/>
    <s v="Ninguna respuesta seleccionada"/>
    <s v="Mantenimiento preventivo "/>
    <s v="Gestión Hídrica El Soldado"/>
    <s v="[Gestión Hídrica El Soldado] Dren de Cap de Inflil (AO-1) Gateway B"/>
    <x v="0"/>
    <d v="2025-09-26T00:00:00"/>
    <s v="Gestión hidrica el soldado "/>
    <s v="Se recurre al punto a dar solución ya que se encontraba caído. "/>
    <n v="5"/>
    <m/>
    <m/>
    <m/>
  </r>
  <r>
    <n v="162"/>
    <s v="Juan José López"/>
    <s v="Ninguna respuesta seleccionada"/>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r>
  <r>
    <n v="156"/>
    <s v="David  Loncopan"/>
    <s v="Ninguna respuesta seleccionada"/>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r>
  <r>
    <n v="169"/>
    <s v="Juan José López"/>
    <s v="Ninguna respuesta seleccionada"/>
    <s v="Solución flowcell "/>
    <s v="Resolución 31 (calidad de agua "/>
    <s v="Pbm4 y p6"/>
    <x v="4"/>
    <d v="2025-09-30T00:00:00"/>
    <s v="Patricio Cortez "/>
    <s v="Se crea solución momentánea flowcell, para los recintos PBM4 y P6. "/>
    <n v="5"/>
    <m/>
    <m/>
    <m/>
  </r>
  <r>
    <n v="167"/>
    <s v="Juan José López"/>
    <s v="Ninguna respuesta seleccionada"/>
    <s v="Creación de soluciones flowcell momentánea "/>
    <s v="Resolución 31 supervisión de calidad de agua "/>
    <s v="PBM4 y p6"/>
    <x v="4"/>
    <d v="2025-09-30T00:00:00"/>
    <s v="Patricio Cortez "/>
    <s v="Se crea solución momentánea flowcell, para los recintos PBM4 y P6. "/>
    <n v="5"/>
    <m/>
    <m/>
    <m/>
  </r>
  <r>
    <n v="164"/>
    <s v="Elías Sanchez"/>
    <s v="Ninguna respuesta seleccionada"/>
    <s v="Mantención correctiva - Contrastación de valores "/>
    <s v="Los Bronces - Riecillos"/>
    <s v="[Los Bronces - Riecillos] R3050 Caudalimetro E"/>
    <x v="0"/>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r>
  <r>
    <n v="164"/>
    <s v="Elías Sanchez"/>
    <s v="Ninguna respuesta seleccionada"/>
    <s v="Mantención correctiva - Contrastación de valores "/>
    <s v="Los Bronces - Riecillos"/>
    <s v="[Los Bronces - Riecillos] R3050 Caudalimetro A"/>
    <x v="1"/>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m/>
    <m/>
    <m/>
  </r>
  <r>
    <n v="163"/>
    <s v="Leonardo Gonzalez"/>
    <s v="Ninguna respuesta seleccionada"/>
    <s v="Mantenimiento preventivo "/>
    <s v="Gestión Hídrica El Soldado"/>
    <s v="[Gestión Hídrica El Soldado] Sector -300 Gateway"/>
    <x v="0"/>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r>
  <r>
    <n v="163"/>
    <s v="Leonardo Gonzalez"/>
    <s v="Ninguna respuesta seleccionada"/>
    <s v="Mantenimiento preventivo "/>
    <s v="Gestión Hídrica El Soldado"/>
    <s v="[Gestión Hídrica El Soldado] Dren de Cap de Inflil (AO-1) Gateway B"/>
    <x v="0"/>
    <d v="2025-09-30T00:00:00"/>
    <s v="Gestión hidrica el soldado "/>
    <s v="Se revisa que transmisor de pulsos BH TRET no sufra daño por cambio de energía eléctrica a generador._x000a_Nos quedamos en el sector monitoreando."/>
    <n v="5"/>
    <m/>
    <m/>
    <m/>
  </r>
  <r>
    <n v="163"/>
    <s v="Leonardo Gonzalez"/>
    <s v="Ninguna respuesta seleccionada"/>
    <s v="Mantenimiento preventivo "/>
    <s v="Gestión Hídrica El Soldado"/>
    <s v="[Gestión Hídrica El Soldado] Pozo N° 3A (P3A) Nodo B1"/>
    <x v="0"/>
    <d v="2025-09-30T00:00:00"/>
    <s v="Gestión hidrica el soldado "/>
    <s v="Nos dirigimos al punto para ver el correcto funcionamiento de la estación solar. Revisando carga de baterías."/>
    <n v="5"/>
    <m/>
    <m/>
    <m/>
  </r>
  <r>
    <n v="160"/>
    <s v="David  Loncopan"/>
    <s v="Ninguna respuesta seleccionada"/>
    <s v="Capacitacion EtWe SSR Comite El Manzanar "/>
    <s v="SSR Comité Manzanar"/>
    <s v="[SSR Comité Manzanar] Recinto Planta Principal"/>
    <x v="4"/>
    <d v="2025-09-30T00:00:00"/>
    <s v="Benjamín Castillo"/>
    <s v="Capacitación EtWe"/>
    <n v="5"/>
    <m/>
    <m/>
    <m/>
  </r>
  <r>
    <n v="159"/>
    <s v="David  Loncopan"/>
    <s v="Ninguna respuesta seleccionada"/>
    <s v="Capacitacion etwe"/>
    <s v="SSR El Cajón de San Pedro"/>
    <s v="[SSR El Cajón de San Pedro] Recinto Pozo"/>
    <x v="4"/>
    <d v="2025-09-30T00:00:00"/>
    <s v="Lidia Cueto"/>
    <s v="Se realiza capacitacion de plataforma etwe"/>
    <n v="5"/>
    <m/>
    <m/>
    <m/>
  </r>
  <r>
    <n v="158"/>
    <s v="Ángel Zamora"/>
    <s v="Ninguna respuesta seleccionad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r>
  <r>
    <n v="168"/>
    <s v="Diego Marchant"/>
    <s v="Ninguna respuesta seleccionada"/>
    <m/>
    <s v="Gestión Hídrica El Soldado"/>
    <s v="Administrativo / Portezuelo"/>
    <x v="4"/>
    <d v="2025-10-01T00:00:00"/>
    <s v="Superintendencia de Recursos Hídricos. "/>
    <s v="Diego Marchant, asiste a curso reglamento tránsito Área Mina en Portezuelo Zona Mina._x000a__x000a_Leonardo Gonzales, realiza curso pendiente en Web-Control."/>
    <n v="5"/>
    <m/>
    <m/>
    <m/>
  </r>
  <r>
    <n v="168"/>
    <s v="Diego Marchant"/>
    <s v="Ninguna respuesta seleccionada"/>
    <m/>
    <s v="Gestión Hídrica El Soldado."/>
    <s v="Cachimba Veta Blanca"/>
    <x v="0"/>
    <d v="2025-10-01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r>
  <r>
    <n v="166"/>
    <s v="Cristopher Iglesias "/>
    <s v="Ninguna respuesta seleccionada"/>
    <s v="Configuración telemetria y levantamiento"/>
    <s v="Global Tórtolas"/>
    <s v="[Global Tórtolas] Pozo P3GB"/>
    <x v="0"/>
    <d v="2025-10-01T00:00:00"/>
    <s v="Paula Riquelme"/>
    <s v="Se efectua el cambio de pila PLC de P3GB y levantamiento de datos tecnicos de terreno en pozos PBE 1 y 2."/>
    <n v="5"/>
    <m/>
    <m/>
    <m/>
  </r>
  <r>
    <n v="173"/>
    <s v="Camilo Sandoval"/>
    <s v="Ninguna respuesta seleccionada"/>
    <s v="Instalación y pruebas de funcionamiento de Flowcell"/>
    <s v="Global Tórtolas"/>
    <s v="[Global Tórtolas] Pozo PBM4"/>
    <x v="3"/>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m/>
    <m/>
    <m/>
  </r>
  <r>
    <n v="172"/>
    <s v="Diego Marchant"/>
    <s v="Ninguna respuesta seleccionada"/>
    <m/>
    <s v="Gestión Hídrica El Soldado"/>
    <s v="[Gestión Hídrica El Soldado] Monitoreo Canaletas UG"/>
    <x v="0"/>
    <d v="2025-10-02T00:00:00"/>
    <s v="Gestión Hídricos el soldado "/>
    <s v="Se realiza visita piscina UG para revisión de trabajos, aumentando nivel para poner a prueba mejoras estructurales en piscina. Ademas, rotulado de herramientas."/>
    <n v="5"/>
    <m/>
    <m/>
    <m/>
  </r>
  <r>
    <n v="172"/>
    <s v="Diego Marchant"/>
    <s v="Ninguna respuesta seleccionada"/>
    <m/>
    <s v="Gestión Hídrica El Soldado"/>
    <s v="Arranque Barrera Hidráulica TRET/Estación Reelevadora. "/>
    <x v="0"/>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r>
  <r>
    <n v="172"/>
    <s v="Diego Marchant"/>
    <s v="Ninguna respuesta seleccionada"/>
    <m/>
    <s v="Gestión Hídrica El Soldado"/>
    <s v="[Gestión Hídrica El Soldado] Sector -300 Gateway"/>
    <x v="0"/>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r>
  <r>
    <n v="171"/>
    <s v="David  Loncopan"/>
    <s v="Ninguna respuesta seleccionada"/>
    <s v="Capacitación etwe "/>
    <s v="SSR Los Almendros"/>
    <s v="[SSR Los Almendros] Pozo Los Almendros"/>
    <x v="4"/>
    <d v="2025-10-02T00:00:00"/>
    <s v="Yesenia Romeeo"/>
    <s v="Se realiza capacitacion a operadores y administrativo de ssr los almendros "/>
    <n v="5"/>
    <m/>
    <m/>
    <m/>
  </r>
  <r>
    <n v="175"/>
    <s v="Leonardo Gonzalez"/>
    <s v="Ninguna respuesta seleccionada"/>
    <s v="Mantenimiento preventivo "/>
    <s v="Barrera T4"/>
    <s v="Barrera T4"/>
    <x v="0"/>
    <d v="2025-10-03T00:00:00"/>
    <s v="Gestión hidrica el soldado "/>
    <s v="Por solicitud del cliente se dirge al punto Barrera T4 a revisión de válvula para comprobar que estuviera al 100 %."/>
    <n v="5"/>
    <m/>
    <m/>
    <m/>
  </r>
  <r>
    <n v="175"/>
    <s v="Leonardo Gonzalez"/>
    <s v="Ninguna respuesta seleccionada"/>
    <s v="Mantenimiento preventivo "/>
    <s v="Gestión Hídrica El Soldado"/>
    <s v="[Gestión Hídrica El Soldado] Pozo Inyección Barrera Hidráulica PI20"/>
    <x v="0"/>
    <d v="2025-10-03T00:00:00"/>
    <s v="Gestión hidrica el soldado "/>
    <s v="Se dirige por solicitud del cliente a los puntos Pozos de inyección PI 17 hasta el PI 20. Encontrando válvula del PI 20 pegada, se soluciona y se revisa cada uno que estuviera inyectando "/>
    <n v="5"/>
    <m/>
    <m/>
    <m/>
  </r>
  <r>
    <n v="175"/>
    <s v="Leonardo Gonzalez"/>
    <s v="Ninguna respuesta seleccionada"/>
    <s v="Mantenimiento preventivo "/>
    <s v="Gestión Hídrica El Soldado"/>
    <s v="[Gestión Hídrica El Soldado] Pozo El Melón N° 06 (PEM-06) Nodo"/>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r>
  <r>
    <n v="175"/>
    <s v="Leonardo Gonzalez"/>
    <s v="Ninguna respuesta seleccionada"/>
    <s v="Mantenimiento preventivo "/>
    <s v="Gestión Hídrica El Soldado"/>
    <s v="[Gestión Hídrica El Soldado] Pozo El Melón N° 10 (PEM-10) Nodo A16"/>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r>
  <r>
    <n v="178"/>
    <s v="Leonardo Gonzalez"/>
    <s v="Ninguna respuesta seleccionada"/>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r>
  <r>
    <n v="176"/>
    <s v="Elías Sanchez"/>
    <s v="Ninguna respuesta seleccionada"/>
    <s v="Gestión hídrica el soldado"/>
    <s v="Gestión Hídrica El Soldado"/>
    <s v="[Gestión Hídrica El Soldado] Pozo El Melón N° 06 (PEM-06) Nodo"/>
    <x v="0"/>
    <d v="2025-10-06T00:00:00"/>
    <s v="Superintendencia de recursos hídricos "/>
    <s v="PEM-06: Se realiza inspección para verificar el voltaje en tablero pero no tiene llegada de energía aguas arriba de fuente de poder ni de la protección general."/>
    <n v="5"/>
    <m/>
    <m/>
    <m/>
  </r>
  <r>
    <n v="176"/>
    <s v="Elías Sanchez"/>
    <s v="Ninguna respuesta seleccionada"/>
    <s v="Gestión hídrica el soldado"/>
    <s v="Gestión Hídrica El Soldado"/>
    <s v="[Gestión Hídrica El Soldado] Pozo El Melón N° 10 (PEM-10) Nodo A16"/>
    <x v="0"/>
    <d v="2025-10-06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r>
  <r>
    <n v="176"/>
    <s v="Elías Sanchez"/>
    <s v="Ninguna respuesta seleccionada"/>
    <s v="Gestión hídrica el soldado"/>
    <s v="Gestión Hídrica El Soldado"/>
    <s v="[Gestión Hídrica El Soldado] Sector -300 Gateway"/>
    <x v="0"/>
    <d v="2025-10-06T00:00:00"/>
    <s v="Superintendencia de recursos hídricos "/>
    <s v="Revisión de la instalación y su funcionamiento, no se presentan observaciones."/>
    <n v="5"/>
    <m/>
    <m/>
    <m/>
  </r>
  <r>
    <n v="182"/>
    <s v="Camilo Sandoval"/>
    <s v="Ninguna respuesta seleccionada"/>
    <s v="Instalación flowcell y modificación de estructura"/>
    <s v="Global Tórtolas"/>
    <s v="[Global Tórtolas] Pozo PBM4"/>
    <x v="0"/>
    <d v="2025-10-07T00:00:00"/>
    <s v="Patricio Cortés"/>
    <s v="Se realiza modificación de la estructura donde se ubica el case, instalándose aprox 40cm mas de  altura"/>
    <n v="5"/>
    <m/>
    <m/>
    <m/>
  </r>
  <r>
    <n v="182"/>
    <s v="Camilo Sandoval"/>
    <s v="Ninguna respuesta seleccionada"/>
    <s v="Instalación flowcell y modificación de estructura"/>
    <s v="Global Tórtolas"/>
    <s v="[Global Tórtolas] Pozo P6"/>
    <x v="3"/>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m/>
    <m/>
    <m/>
  </r>
  <r>
    <n v="180"/>
    <s v="David  Loncopan"/>
    <s v="Ninguna respuesta seleccionada"/>
    <s v="Apoyo conexion contactor pozo 2 en falla "/>
    <s v="APR Parcelación El Melón RP1"/>
    <s v="[APR Parcelación El Melón RP1] Pozo 1 y 2 y Estanques Azul y Acumulación"/>
    <x v="0"/>
    <d v="2025-10-07T00:00:00"/>
    <s v="Ivan rojas "/>
    <s v="Posible falla en la bomba ante pruebas de funcionamiento de nuevo contactor._x000a_ _x000a_Todo el lazo de control opera correctamente mediante sistena we, al igual que los equipos reemplazados."/>
    <n v="5"/>
    <m/>
    <m/>
    <m/>
  </r>
  <r>
    <n v="180"/>
    <s v="David  Loncopan"/>
    <s v="Ninguna respuesta seleccionada"/>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r>
  <r>
    <n v="179"/>
    <s v="David  Loncopan"/>
    <s v="Ninguna respuesta seleccionada"/>
    <s v="Revisión comunicacion local Lora pozo-estanque "/>
    <s v="SSR Comité Manzanar"/>
    <s v="[SSR Comité Manzanar] Lora Estanque Manzanar"/>
    <x v="0"/>
    <d v="2025-10-07T00:00:00"/>
    <s v="Benjamin Castillo"/>
    <s v="Gateway lora en falla "/>
    <n v="5"/>
    <m/>
    <m/>
    <m/>
  </r>
  <r>
    <n v="179"/>
    <s v="David  Loncopan"/>
    <s v="Ninguna respuesta seleccionada"/>
    <s v="Revisión comunicacion local Lora pozo-estanque "/>
    <s v="SSR Comité Manzanar"/>
    <s v="[SSR Comité Manzanar] Lora Estanque Manzanar"/>
    <x v="1"/>
    <d v="2025-10-07T00:00:00"/>
    <s v="Benjamin Castillo"/>
    <s v="Gateway lora en falla "/>
    <n v="5"/>
    <m/>
    <m/>
    <m/>
  </r>
  <r>
    <n v="187"/>
    <s v="Diego Marchant"/>
    <s v="Ninguna respuesta seleccionada"/>
    <s v="Solicitudes cliente, ajuste y revision de recintos"/>
    <s v="Gestión Hídrica El Soldado"/>
    <s v="[Gestión Hídrica El Soldado] Pozo Inyección Barrera Hidráulica T4"/>
    <x v="0"/>
    <d v="2025-10-08T00:00:00"/>
    <s v="Superintendencia de Recursos Hídricos. "/>
    <s v="A solicitud de cliente, se realiza ajuste en pozos de inyección logrando aumentar flujo en PI-17-18. Además, se limpian tableros de estación fotovoltaico y paneles. Finalmente, se revisa configuración de inversor."/>
    <n v="5"/>
    <m/>
    <m/>
    <m/>
  </r>
  <r>
    <n v="187"/>
    <s v="Diego Marchant"/>
    <s v="Ninguna respuesta seleccionada"/>
    <s v="Solicitudes cliente, ajuste y revision de recintos"/>
    <s v="Gestión Hídrica El Soldado"/>
    <s v="[Gestión Hídrica El Soldado] Sector -300 Gateway"/>
    <x v="0"/>
    <d v="2025-10-08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r>
  <r>
    <n v="187"/>
    <s v="Diego Marchant"/>
    <s v="Ninguna respuesta seleccionada"/>
    <s v="Solicitudes cliente, ajuste y revision de recintos"/>
    <s v="Gestión Hídrica El Soldado"/>
    <s v="[Gestión Hídrica El Soldado] PM-28C Nodo"/>
    <x v="0"/>
    <d v="2025-10-08T00:00:00"/>
    <s v="Superintendencia de Recursos Hídricos. "/>
    <s v="Se realiza limpieza panel fotovoltaico, tableros y revisión de recinto en general. Se revisan datos."/>
    <n v="5"/>
    <m/>
    <m/>
    <m/>
  </r>
  <r>
    <n v="187"/>
    <s v="Diego Marchant"/>
    <s v="Ninguna respuesta seleccionada"/>
    <s v="Solicitudes cliente, ajuste y revision de recintos"/>
    <s v="Gestión Hídrica El Soldado"/>
    <s v="[Gestión Hídrica El Soldado] PM-30 Nodo"/>
    <x v="0"/>
    <d v="2025-10-08T00:00:00"/>
    <s v="Superintendencia de Recursos Hídricos. "/>
    <s v="Se realiza limpieza panel fotovoltaico, tableros y revisión de recinto en general. Se revisan datos."/>
    <n v="5"/>
    <m/>
    <m/>
    <m/>
  </r>
  <r>
    <n v="185"/>
    <s v="Ángel Zamora"/>
    <s v="Ninguna respuesta seleccionada"/>
    <s v="Incorporación y levantamiento caudalimetro Viña concha y Toro "/>
    <s v="Biodiversa Chimbarongo"/>
    <s v="[Biodiversa Chimbarongo] Biodiversa Chimbarongo"/>
    <x v="3"/>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m/>
    <m/>
    <m/>
  </r>
  <r>
    <n v="184"/>
    <s v="Juan José López"/>
    <s v="Ninguna respuesta seleccionada"/>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r>
  <r>
    <n v="183"/>
    <s v="David  Loncopan"/>
    <s v="Ninguna respuesta seleccionada"/>
    <s v="Revisión operacion plants y equipos de comunicación. Feedback cruzado."/>
    <s v="Lipigas PSR Quillayes"/>
    <s v="[Lipigas PSR Quillayes] PSR Quillayes"/>
    <x v="0"/>
    <d v="2025-10-08T00:00:00"/>
    <s v="Cristian Concha"/>
    <s v="Se revisa instalación. Se prueba UPS que se encuentra en correcto estado. _x000a__x000a_Se revisan alarmas de temperatura de VSF Contrastando el valor en terreno._x000a_"/>
    <n v="5"/>
    <m/>
    <m/>
    <m/>
  </r>
  <r>
    <n v="190"/>
    <s v="Elías Sanchez"/>
    <s v="Ninguna respuesta seleccionada"/>
    <s v="Manutención preventiva - Levantamiento técnico "/>
    <s v="Gestión Hídrica El Soldado"/>
    <s v="[Gestión Hídrica El Soldado] PM-6 Nodo 158"/>
    <x v="0"/>
    <d v="2025-10-09T00:00:00"/>
    <s v="Superintendencia de recursos hídricos "/>
    <s v="Se debe corregir llegada de sonda a pozo ya que baja al pozo a través de la tapa aplastando al cable en vez del encamisado. "/>
    <n v="5"/>
    <n v="1"/>
    <n v="0"/>
    <n v="0"/>
  </r>
  <r>
    <n v="190"/>
    <s v="Elías Sanchez"/>
    <s v="Ninguna respuesta seleccionada"/>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n v="1"/>
    <n v="0"/>
    <n v="0"/>
  </r>
  <r>
    <n v="190"/>
    <s v="Elías Sanchez"/>
    <s v="Ninguna respuesta seleccionada"/>
    <s v="Manutención preventiva - Levantamiento técnico "/>
    <s v="Gestión Hídrica El Soldado"/>
    <s v="[Gestión Hídrica El Soldado] PM-07 Gateway"/>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r>
  <r>
    <n v="190"/>
    <s v="Elías Sanchez"/>
    <s v="Ninguna respuesta seleccionada"/>
    <s v="Manutención preventiva - Levantamiento técnico "/>
    <s v="Gestión Hídrica El Soldado"/>
    <s v="[Gestión Hídrica El Soldado] PM-07 Gateway"/>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r>
  <r>
    <n v="189"/>
    <s v="Ángel Zamora"/>
    <s v="Ninguna respuesta seleccionada"/>
    <s v="Levantamiento y implantación de nuevos puntos de monitoreo "/>
    <s v="Biodiversa Chimbarongo"/>
    <s v="[Biodiversa Chimbarongo] Biodiversa Chimbarongo"/>
    <x v="3"/>
    <d v="2025-10-09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n v="1"/>
    <n v="1"/>
    <n v="0"/>
  </r>
  <r>
    <n v="188"/>
    <s v="Juan José López"/>
    <s v="Ninguna respuesta seleccionada"/>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n v="0"/>
    <n v="0"/>
    <n v="0"/>
  </r>
  <r>
    <n v="188"/>
    <s v="Juan José López"/>
    <s v="Ninguna respuesta seleccionada"/>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n v="0"/>
    <n v="0"/>
    <n v="0"/>
  </r>
  <r>
    <n v="188"/>
    <s v="Juan José López"/>
    <s v="Ninguna respuesta seleccionada"/>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n v="0"/>
    <n v="0"/>
    <n v="0"/>
  </r>
  <r>
    <n v="188"/>
    <s v="Juan José López"/>
    <s v="Ninguna respuesta seleccionada"/>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n v="0"/>
    <n v="0"/>
    <n v="0"/>
  </r>
  <r>
    <n v="188"/>
    <s v="Juan José López"/>
    <s v="Ninguna respuesta seleccionada"/>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n v="0"/>
    <n v="0"/>
    <n v="0"/>
  </r>
  <r>
    <n v="192"/>
    <s v="Diego Marchant"/>
    <s v="Ninguna respuesta seleccionada"/>
    <s v="Trabajo administrativo "/>
    <s v="Gestión Hídrica El Soldado"/>
    <s v="[Gestión Hídrica El Soldado] Pozo Los Litres N° 01 (PLL-01) Nodo A12"/>
    <x v="0"/>
    <d v="2025-10-10T00:00:00"/>
    <s v="Gestión hídrica El Soldado"/>
    <s v="Se realiza trabajo administrativo._x000a__x000a_Además, Se vista recinto ya que se obtienen datos con tendencia a infinito, pero al llegar, pozo se encontraba detenido y colaborador de H&amp;A no se encontraba disponible."/>
    <n v="5"/>
    <n v="1"/>
    <n v="1"/>
    <n v="0"/>
  </r>
  <r>
    <n v="191"/>
    <s v="Camilo Sandoval"/>
    <s v="Ninguna respuesta seleccionada"/>
    <s v="Revisión de lectura del instrumento sonda multiparametrica"/>
    <s v="Global Tórtolas"/>
    <s v="[Global Tórtolas] Pozo PBM4"/>
    <x v="0"/>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n v="1"/>
    <n v="1"/>
    <n v="1"/>
  </r>
  <r>
    <n v="191"/>
    <s v="Camilo Sandoval"/>
    <s v="Ninguna respuesta seleccionada"/>
    <s v="Revisión de lectura del instrumento sonda multiparametrica"/>
    <s v="Global Tórtolas"/>
    <s v="[Global Tórtolas] Pozo P2G"/>
    <x v="0"/>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n v="1"/>
    <n v="1"/>
    <n v="1"/>
  </r>
  <r>
    <n v="191"/>
    <s v="Camilo Sandoval"/>
    <s v="Ninguna respuesta seleccionada"/>
    <s v="Revisión de lectura del instrumento sonda multiparametrica"/>
    <s v="Global Tórtolas"/>
    <s v="[Global Tórtolas] Pozo P3G"/>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r>
  <r>
    <n v="191"/>
    <s v="Camilo Sandoval"/>
    <s v="Ninguna respuesta seleccionada"/>
    <s v="Revisión de lectura del instrumento sonda multiparametrica"/>
    <s v="Global Tórtolas"/>
    <s v="[Global Tórtolas] Pozo PBM1"/>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r>
  <r>
    <n v="195"/>
    <s v="Ángel Zamora"/>
    <s v="Ninguna respuesta seleccionada"/>
    <s v="Instalación levantamiento zonas 1 y 2 Biodiversa Chimbarongo "/>
    <s v="Biodiversa Chimbarongo"/>
    <s v="[Biodiversa Chimbarongo] Biodiversa Chimbarongo"/>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r>
  <r>
    <n v="195"/>
    <s v="Ángel Zamora"/>
    <s v="Ninguna respuesta seleccionada"/>
    <s v="Instalación levantamiento zonas 1 y 2 Biodiversa Chimbarongo "/>
    <s v="Biodiversa Chimbarongo"/>
    <s v="[Biodiversa Chimbarongo] Biodiversa Chimbarongo"/>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r>
  <r>
    <n v="194"/>
    <s v="Juan José López"/>
    <s v="Ninguna respuesta seleccionada"/>
    <s v="Desconexión, conexión y configuración "/>
    <s v="Global Tórtolas"/>
    <s v="[Global Tórtolas] Pozo PBM4"/>
    <x v="0"/>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n v="0"/>
    <n v="0"/>
    <n v="0"/>
  </r>
  <r>
    <n v="194"/>
    <s v="Juan José López"/>
    <s v="Ninguna respuesta seleccionada"/>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n v="0"/>
    <n v="0"/>
    <n v="0"/>
  </r>
  <r>
    <n v="194"/>
    <s v="Juan José López"/>
    <s v="Ninguna respuesta seleccionada"/>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n v="0"/>
    <n v="0"/>
    <n v="0"/>
  </r>
  <r>
    <n v="194"/>
    <s v="Juan José López"/>
    <s v="Ninguna respuesta seleccionada"/>
    <s v="Desconexión, conexión y configuración "/>
    <s v="Global Tórtolas"/>
    <s v="[Global Tórtolas] Pozo Dren MO Gateway"/>
    <x v="3"/>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n v="0"/>
    <n v="0"/>
    <n v="0"/>
  </r>
  <r>
    <n v="193"/>
    <s v="Elías Sanchez"/>
    <s v="Ninguna respuesta seleccionada"/>
    <s v="Mantenciones preventivas - correctivas  "/>
    <s v="Gestión Hídrica El Soldado"/>
    <s v="[Gestión Hídrica El Soldado] Pozo El Melón N° 06 (PEM-06) Nodo"/>
    <x v="1"/>
    <d v="2025-10-13T00:00:00"/>
    <s v="Superintendencia de recursos hídricos "/>
    <s v="Se realiza actualización de pulsos en caudalimetro a través de software toolbox._x000a__x000a_Actualización de tabla Excel por presión en relación a los metros de sensor hidrostático._x000a_"/>
    <n v="5"/>
    <n v="1"/>
    <n v="0"/>
    <n v="0"/>
  </r>
  <r>
    <n v="193"/>
    <s v="Elías Sanchez"/>
    <s v="Ninguna respuesta seleccionada"/>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r>
  <r>
    <n v="193"/>
    <s v="Elías Sanchez"/>
    <s v="Ninguna respuesta seleccionada"/>
    <s v="Mantenciones preventivas - correctivas  "/>
    <s v="Gestión Hídrica El Soldado"/>
    <s v="[Gestión Hídrica El Soldado] Pozo El Melón N° 10 (PEM-10) Nodo A16"/>
    <x v="1"/>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r>
  <r>
    <n v="200"/>
    <s v="Ángel Zamora"/>
    <s v="Ninguna respuesta seleccionada"/>
    <s v="Incorporación de nueva telemetria "/>
    <s v="Biodiversa - Graneros"/>
    <s v="[Biodiversa - Graneros] Biodiversa Graneros"/>
    <x v="3"/>
    <d v="2025-10-14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n v="1"/>
    <n v="1"/>
    <n v="1"/>
  </r>
  <r>
    <n v="199"/>
    <s v="Diego Marchant"/>
    <s v="Ninguna respuesta seleccionada"/>
    <s v="Cambio de sondas multiparametricas y revisión de programa PLC."/>
    <s v="Gestión Hídrica El Soldado"/>
    <s v="[Gestión Hídrica El Soldado] Pozo El Melón N° 10 (PEM-10) Nodo A16"/>
    <x v="0"/>
    <d v="2025-10-14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n v="1"/>
    <n v="0"/>
    <n v="0"/>
  </r>
  <r>
    <n v="199"/>
    <s v="Diego Marchant"/>
    <s v="Ninguna respuesta seleccionada"/>
    <s v="Cambio de sondas multiparametricas y revisión de programa PLC."/>
    <s v="Gestión Hídrica El Soldado"/>
    <s v="[Gestión Hídrica El Soldado] Pozo N° 3B (P3B) Nodo B4"/>
    <x v="2"/>
    <d v="2025-10-14T00:00:00"/>
    <s v="Superintendencia de Recursos Hídricos. "/>
    <s v="Se realiza cambio de sonda multiparametrica provisoria por calibrada, verificación de funcionamiento programa PLC, UC-300 y plataforma. Se obtiene congruencia en los datos."/>
    <n v="5"/>
    <n v="1"/>
    <n v="0"/>
    <n v="0"/>
  </r>
  <r>
    <n v="199"/>
    <s v="Diego Marchant"/>
    <s v="Ninguna respuesta seleccionada"/>
    <s v="Cambio de sondas multiparametricas y revisión de programa PLC."/>
    <s v="Gestión Hídrica El Soldado"/>
    <s v="[Gestión Hídrica El Soldado] Dren de Cap de Inflil (AO-1) Gateway B"/>
    <x v="2"/>
    <d v="2025-10-14T00:00:00"/>
    <s v="Superintendencia de Recursos Hídricos. "/>
    <s v="Se realiza cambio de sonda multiparametrica provisoria por calibrada, verificación de funcionamiento programa PLC, UC-300 y plataforma. Se obtiene congruencia en los datos."/>
    <n v="5"/>
    <n v="1"/>
    <n v="0"/>
    <n v="0"/>
  </r>
  <r>
    <n v="198"/>
    <s v="Andrés Valenzuela"/>
    <s v="Ninguna respuesta seleccionad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8"/>
    <s v="Andrés Valenzuela"/>
    <s v="Ninguna respuesta seleccionad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r>
  <r>
    <n v="196"/>
    <s v="Juan José López"/>
    <s v="Ninguna respuesta seleccionada"/>
    <s v="Desconexión, instalación y configuración "/>
    <s v="Global Tórtolas"/>
    <s v="[Global Tórtolas] Pozo PMO 05"/>
    <x v="0"/>
    <d v="2025-10-14T00:00:00"/>
    <s v="Patricio Cortez "/>
    <s v="Se realiza apertura del cierre perimetral con el fin de que la gente por la empresa ASAP pueda generar los trabajos de traslado de tableros, antenas, caja registros, poste y paneles solares."/>
    <n v="5"/>
    <n v="0"/>
    <n v="0"/>
    <n v="0"/>
  </r>
  <r>
    <n v="196"/>
    <s v="Juan José López"/>
    <s v="Ninguna respuesta seleccionada"/>
    <s v="Desconexión, instalación y configuración "/>
    <s v="Resolucion 31 calidad de aguas "/>
    <s v="PMO-15c"/>
    <x v="0"/>
    <d v="2025-10-14T00:00:00"/>
    <s v="Patricio Cortez "/>
    <s v="Se realiza apertura del cierre perimetral con el fin de que la gente por la empresa ASAP pueda generar los trabajos de traslado de tableros, antenas, caja registros, poste y paneles solares._x000a_Para poder ser instaladas."/>
    <n v="5"/>
    <n v="0"/>
    <n v="0"/>
    <n v="0"/>
  </r>
  <r>
    <n v="196"/>
    <s v="Juan José López"/>
    <s v="Ninguna respuesta seleccionada"/>
    <s v="Desconexión, instalación y configuración "/>
    <s v="Resolución 31 monitoreo calidad de aguas "/>
    <s v="PME-09"/>
    <x v="0"/>
    <d v="2025-10-14T00:00:00"/>
    <s v="Patricio Cortez "/>
    <s v="Se realiza instalación de candado en cierre perimetral para generar resguardar y protección con a los tableros instalados."/>
    <n v="5"/>
    <n v="0"/>
    <n v="0"/>
    <n v="0"/>
  </r>
  <r>
    <n v="196"/>
    <s v="Juan José López"/>
    <s v="Ninguna respuesta seleccionada"/>
    <s v="Desconexión, instalación y configuración "/>
    <s v="Resolución 31 monitoreo y calidad de aguas "/>
    <s v="PME-08"/>
    <x v="0"/>
    <d v="2025-10-14T00:00:00"/>
    <s v="Patricio Cortez "/>
    <s v="Se realiza instalación de candado en cierre perimetral para generar resguardar y protección con a los tableros instalados."/>
    <n v="5"/>
    <n v="0"/>
    <n v="0"/>
    <n v="0"/>
  </r>
  <r>
    <n v="205"/>
    <s v="Diego Marchant"/>
    <s v="Ninguna respuesta seleccionada"/>
    <s v="Soporte terreno y cambio de sondas "/>
    <s v="El Soldado Cachimba Relevadoras"/>
    <s v="[El Soldado Cachimba Relevadoras] Cachimba Relevadoras"/>
    <x v="0"/>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r>
  <r>
    <n v="205"/>
    <s v="Diego Marchant"/>
    <s v="Ninguna respuesta seleccionada"/>
    <s v="Soporte terreno y cambio de sondas "/>
    <s v="El Soldado Cachimba Relevadoras"/>
    <s v="[El Soldado Cachimba Relevadoras] Cachimba Relevadoras"/>
    <x v="4"/>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r>
  <r>
    <n v="205"/>
    <s v="Diego Marchant"/>
    <s v="Ninguna respuesta seleccionada"/>
    <s v="Soporte terreno y cambio de sondas "/>
    <s v="Gestión Hídrica El Soldado"/>
    <s v="[Gestión Hídrica El Soldado] Pozo El Melón N° 10 (PEM-10) Nodo A16"/>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r>
  <r>
    <n v="205"/>
    <s v="Diego Marchant"/>
    <s v="Ninguna respuesta seleccionada"/>
    <s v="Soporte terreno y cambio de sondas "/>
    <s v="Gestión Hídrica El Soldado"/>
    <s v="[Gestión Hídrica El Soldado] Pozo El Melón N° 02 (PEM-02) Gateway A"/>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r>
  <r>
    <n v="204"/>
    <s v="Ángel Zamora"/>
    <s v="Ninguna respuesta seleccionada"/>
    <s v="Integración señales y canalizaciones en Biodiversa "/>
    <s v="Biodiversa Chimbarongo"/>
    <s v="[Biodiversa Chimbarongo] Biodiversa Chimbarongo"/>
    <x v="3"/>
    <d v="2025-10-15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n v="1"/>
    <n v="1"/>
    <n v="1"/>
  </r>
  <r>
    <n v="202"/>
    <s v="Juan José López"/>
    <s v="Ninguna respuesta seleccionada"/>
    <s v="Entrega de materiales _x000a_Conexión de los puntos trasladados _x000a_"/>
    <s v="Resolución 31 monitoreo y calidad de aguas "/>
    <s v="Bodega ASAP"/>
    <x v="0"/>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n v="0"/>
    <n v="0"/>
    <n v="0"/>
  </r>
  <r>
    <n v="202"/>
    <s v="Juan José López"/>
    <s v="Ninguna respuesta seleccionada"/>
    <s v="Entrega de materiales _x000a_Conexión de los puntos trasladados _x000a_"/>
    <s v="Resolución 31 calidad de aguas "/>
    <s v="PMO-15"/>
    <x v="3"/>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n v="0"/>
    <n v="0"/>
    <n v="0"/>
  </r>
  <r>
    <n v="202"/>
    <s v="Juan José López"/>
    <s v="Ninguna respuesta seleccionada"/>
    <s v="Entrega de materiales _x000a_Conexión de los puntos trasladados _x000a_"/>
    <s v="Resolución 31 monitoreo calidad de aguas "/>
    <s v="PME-08"/>
    <x v="3"/>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n v="0"/>
    <n v="0"/>
    <n v="0"/>
  </r>
  <r>
    <n v="202"/>
    <s v="Juan José López"/>
    <s v="Ninguna respuesta seleccionada"/>
    <s v="Entrega de materiales _x000a_Conexión de los puntos trasladados _x000a_"/>
    <s v="Resolución 31 monitoreo y calidad de aguas "/>
    <s v="PME-09"/>
    <x v="3"/>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n v="0"/>
    <n v="0"/>
    <n v="0"/>
  </r>
  <r>
    <n v="201"/>
    <s v="David  Loncopan"/>
    <s v="Ninguna respuesta seleccionada"/>
    <s v="Recolección y contratación de datos caudalimetros pozo 14 y 23."/>
    <s v="ASP Pozos"/>
    <s v="[ASP Pozos] Pozo 23"/>
    <x v="0"/>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r>
  <r>
    <n v="201"/>
    <s v="David  Loncopan"/>
    <s v="Ninguna respuesta seleccionada"/>
    <s v="Recolección y contratación de datos caudalimetros pozo 14 y 23."/>
    <s v="ASP Pozos"/>
    <s v="[ASP Pozos] Pozo 14"/>
    <x v="0"/>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r>
  <r>
    <n v="201"/>
    <s v="David  Loncopan"/>
    <s v="Ninguna respuesta seleccionada"/>
    <s v="Recolección y contratación de datos caudalimetros pozo 14 y 23."/>
    <s v="ASP Pozos"/>
    <s v="[ASP Pozos] Pozo 23"/>
    <x v="1"/>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r>
  <r>
    <n v="201"/>
    <s v="David  Loncopan"/>
    <s v="Ninguna respuesta seleccionada"/>
    <s v="Recolección y contratación de datos caudalimetros pozo 14 y 23."/>
    <s v="ASP Pozos"/>
    <s v="[ASP Pozos] Pozo 14"/>
    <x v="2"/>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r>
  <r>
    <n v="209"/>
    <s v="Ángel Zamora"/>
    <s v="Ninguna respuesta seleccionada"/>
    <s v="Incorporación de variables y control Biodiversa "/>
    <s v="Biodiversa Chimbarongo"/>
    <s v="[Biodiversa Chimbarongo] Biodiversa Chimbarongo"/>
    <x v="3"/>
    <d v="2025-10-16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n v="1"/>
    <n v="1"/>
    <n v="1"/>
  </r>
  <r>
    <n v="207"/>
    <s v="Juan José López"/>
    <s v="Ninguna respuesta seleccionada"/>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n v="0"/>
    <n v="0"/>
    <n v="0"/>
  </r>
  <r>
    <n v="207"/>
    <s v="Juan José López"/>
    <s v="Ninguna respuesta seleccionada"/>
    <s v="Reconocimiento de recintos junto al personal de la empresa ASAP._x000a_Retiro de cable sonda multiparametrica "/>
    <s v="Global Tórtolas"/>
    <s v="[Global Tórtolas] Pozo Dren MP Nodo Nuevo"/>
    <x v="3"/>
    <d v="2025-10-16T00:00:00"/>
    <s v="Patricio Cortes "/>
    <s v="En el recinto Dren Muro Principal se realizó el retiro del cable de la sonda multiparamétrica, con el fin de instalarlo posteriormente en el recinto P6._x000a_"/>
    <n v="5"/>
    <n v="0"/>
    <n v="0"/>
    <n v="0"/>
  </r>
  <r>
    <n v="206"/>
    <s v="David  Loncopan"/>
    <s v="Ninguna respuesta seleccionada"/>
    <s v="Retiro de pantalla de sala de control producto de falla "/>
    <s v="Sala de control GNL Lipigas "/>
    <s v="Sala de control GNL"/>
    <x v="0"/>
    <d v="2025-10-16T00:00:00"/>
    <s v="Hernan Rojas "/>
    <s v="Se retiran equipos en falla de la sala de control y no se deja pantallas backup debido a que el computador de la sala no permite mas conexión de pantallas mediante HDMI"/>
    <n v="5"/>
    <n v="1"/>
    <n v="1"/>
    <n v="1"/>
  </r>
  <r>
    <n v="206"/>
    <s v="David  Loncopan"/>
    <s v="Ninguna respuesta seleccionada"/>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n v="1"/>
    <n v="1"/>
    <n v="1"/>
  </r>
  <r>
    <n v="214"/>
    <s v="David  Loncopan"/>
    <s v="Ninguna respuesta seleccionada"/>
    <s v="Revisión de comunicación MODBuS RTU  planta PSR Danone entre correcto de flujos y sistema de monitoreo o PLC de planta "/>
    <s v="Lipigas PSR Danone (Chillán)"/>
    <s v="[Lipigas PSR Danone (Chillán)] PSR Danone (Chillán)"/>
    <x v="0"/>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n v="1"/>
    <n v="1"/>
    <n v="1"/>
  </r>
  <r>
    <n v="213"/>
    <s v="Diego Marchant"/>
    <s v="Ninguna respuesta seleccionada"/>
    <s v="Trabajo administrativo "/>
    <s v="Gestión Hídrica El Soldado"/>
    <s v="N-A"/>
    <x v="0"/>
    <d v="2025-10-17T00:00:00"/>
    <s v="Superintendencia de recursos Hídricos "/>
    <s v="Trabajo administrativo."/>
    <n v="5"/>
    <n v="1"/>
    <n v="1"/>
    <n v="1"/>
  </r>
  <r>
    <n v="212"/>
    <s v="Ángel Zamora"/>
    <s v="Ninguna respuesta seleccionada"/>
    <s v="Incorporación de nuevos variables y control Biodiversa "/>
    <s v="Biodiversa Chimbarongo"/>
    <s v="[Biodiversa Chimbarongo] Biodiversa Chimbarongo"/>
    <x v="3"/>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n v="1"/>
    <n v="1"/>
    <n v="1"/>
  </r>
  <r>
    <n v="210"/>
    <s v="Juan José López"/>
    <s v="Ninguna respuesta seleccionada"/>
    <s v="Instalación y configuración de sonda multiparametrica._x000a_"/>
    <s v="Proyecto no especificado"/>
    <s v="Ninguna respuesta seleccionada"/>
    <x v="3"/>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n v="0"/>
    <n v="0"/>
    <n v="0"/>
  </r>
  <r>
    <n v="217"/>
    <s v="Leonardo Gonzalez"/>
    <s v="Ninguna respuesta seleccionada"/>
    <s v="Mantenimiento preventivo "/>
    <s v="Gestión Hídrica El Soldado"/>
    <s v="[Gestión Hídrica El Soldado] Pozo Inyección Barrera Hidráulica PI20"/>
    <x v="0"/>
    <d v="2025-10-20T00:00:00"/>
    <s v="Gestión hidrica el soldado (Nicolas Valenzuela)"/>
    <s v="Se realizo ajustes en caudal barrera hidráulica además ajuste en válvula ya que se encontraba pegada."/>
    <n v="5"/>
    <n v="1"/>
    <n v="1"/>
    <n v="0"/>
  </r>
  <r>
    <n v="217"/>
    <s v="Leonardo Gonzalez"/>
    <s v="Ninguna respuesta seleccionada"/>
    <s v="Mantenimiento preventivo "/>
    <s v="Gestión Hídrica El Soldado"/>
    <s v="[Gestión Hídrica El Soldado] Pozo Inyección Barrera Hidráulica PI19"/>
    <x v="0"/>
    <d v="2025-10-20T00:00:00"/>
    <s v="Gestión hidrica el soldado (Nicolas Valenzuela)"/>
    <s v="Se realizo inspección visual al punto para cerciorarse qué estuviera en correcto funcionamiento. "/>
    <n v="5"/>
    <n v="1"/>
    <n v="1"/>
    <n v="0"/>
  </r>
  <r>
    <n v="217"/>
    <s v="Leonardo Gonzalez"/>
    <s v="Ninguna respuesta seleccionada"/>
    <s v="Mantenimiento preventivo "/>
    <s v="Gestión Hídrica El Soldado"/>
    <s v="[Gestión Hídrica El Soldado] Pozo Inyección Barrera Hidráulica PI18"/>
    <x v="0"/>
    <d v="2025-10-20T00:00:00"/>
    <s v="Gestión hidrica el soldado (Nicolas Valenzuela)"/>
    <s v="Se realizo inspección visual al punto para cerciorarse qué estuviera en correcto funcionamiento. "/>
    <n v="5"/>
    <n v="1"/>
    <n v="1"/>
    <n v="0"/>
  </r>
  <r>
    <n v="217"/>
    <s v="Leonardo Gonzalez"/>
    <s v="Ninguna respuesta seleccionada"/>
    <s v="Mantenimiento preventivo "/>
    <s v="Gestión Hídrica El Soldado"/>
    <s v="[Gestión Hídrica El Soldado] Pozo Inyección Barrera Hidráulica PI17"/>
    <x v="0"/>
    <d v="2025-10-20T00:00:00"/>
    <s v="Gestión hidrica el soldado (Nicolas Valenzuela)"/>
    <s v="Se realizo inspección visual al punto para cerciorarse qué estuviera en correcto funcionamiento. _x000a_Además se ajusta válvula."/>
    <n v="5"/>
    <n v="1"/>
    <n v="1"/>
    <n v="0"/>
  </r>
  <r>
    <n v="217"/>
    <s v="Leonardo Gonzalez"/>
    <s v="Ninguna respuesta seleccionada"/>
    <s v="Mantenimiento preventivo "/>
    <s v="Gestión Hídrica El Soldado"/>
    <s v="[Gestión Hídrica El Soldado] PM-3 Nodo B19"/>
    <x v="0"/>
    <d v="2025-10-20T00:00:00"/>
    <s v="Gestión hidrica el soldado (Nicolas Valenzuela)"/>
    <s v="Revisión visual del punto, y Revisión en la plataforma el correcto funcionamiento. "/>
    <n v="5"/>
    <n v="1"/>
    <n v="1"/>
    <n v="0"/>
  </r>
  <r>
    <n v="217"/>
    <s v="Leonardo Gonzalez"/>
    <s v="Ninguna respuesta seleccionada"/>
    <s v="Mantenimiento preventivo "/>
    <s v="Gestión Hídrica El Soldado"/>
    <s v="[Gestión Hídrica El Soldado] Pozo El Melón N° 10 (PEM-10) Nodo A16"/>
    <x v="0"/>
    <d v="2025-10-20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n v="1"/>
    <n v="1"/>
    <n v="0"/>
  </r>
  <r>
    <n v="216"/>
    <s v="Ángel Zamora"/>
    <s v="Ninguna respuesta seleccionada"/>
    <s v="Integración de nuevas variables, levantamiento de terreno con Emir, informe de adicionales"/>
    <s v="Biodiversa Chimbarongo"/>
    <s v="[Biodiversa Chimbarongo] Biodiversa Chimbarongo"/>
    <x v="5"/>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r>
  <r>
    <n v="216"/>
    <s v="Ángel Zamora"/>
    <s v="Ninguna respuesta seleccionada"/>
    <s v="Integración de nuevas variables, levantamiento de terreno con Emir, informe de adicionales"/>
    <s v="Biodiversa Chimbarongo"/>
    <s v="[Biodiversa Chimbarongo] Biodiversa Chimbarongo"/>
    <x v="3"/>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r>
  <r>
    <n v="220"/>
    <s v="Ángel Zamora"/>
    <s v="Ninguna respuesta seleccionada"/>
    <s v="Integración de variables y control"/>
    <s v="Biodiversa Chimbarongo"/>
    <s v="[Biodiversa Chimbarongo] Biodiversa Chimbarongo"/>
    <x v="3"/>
    <d v="2025-10-21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n v="1"/>
    <n v="1"/>
    <n v="1"/>
  </r>
  <r>
    <n v="219"/>
    <s v="Leonardo Gonzalez"/>
    <s v="Ninguna respuesta seleccionada"/>
    <s v="Mantenimiento preventivo "/>
    <s v="Gestión Hídrica El Soldado"/>
    <s v="[Gestión Hídrica El Soldado] Tranque 4"/>
    <x v="0"/>
    <d v="2025-10-21T00:00:00"/>
    <s v="Gestión hidrica el soldado (Nicolas Valenzuela)"/>
    <s v="Punto de monitoreo se encontraba sin transmitir datos. Se realizo reinicio del sistema quedando ok."/>
    <n v="5"/>
    <n v="1"/>
    <n v="1"/>
    <n v="0"/>
  </r>
  <r>
    <n v="219"/>
    <s v="Leonardo Gonzalez"/>
    <s v="Ninguna respuesta seleccionada"/>
    <s v="Mantenimiento preventivo "/>
    <s v="Gestión hidrica el soldado "/>
    <s v="Bodega de recursos hidricos "/>
    <x v="0"/>
    <d v="2025-10-21T00:00:00"/>
    <s v="Gestión hidrica el soldado (Nicolas Valenzuela)"/>
    <s v="Después del traslado de bodega, se produjo caída de elementos de las repisas._x000a_Procedemos a realizar orden de Materiales, y limpieza de la bodega."/>
    <n v="5"/>
    <n v="1"/>
    <n v="1"/>
    <n v="0"/>
  </r>
  <r>
    <n v="219"/>
    <s v="Leonardo Gonzalez"/>
    <s v="Ninguna respuesta seleccionada"/>
    <s v="Mantenimiento preventivo "/>
    <s v="Gestión Hídrica El Soldado"/>
    <s v="[Gestión Hídrica El Soldado] PM-07 Gateway"/>
    <x v="0"/>
    <d v="2025-10-21T00:00:00"/>
    <s v="Gestión hidrica el soldado (Nicolas Valenzuela)"/>
    <s v="Procedemos a ir al punto después de aviso que no se estaba transmitiendo datos, se da reinicio al sistema quedando ok._x000a_Mañana se procederá a realizar ronda por demás pozos de monitoreo._x000a_"/>
    <n v="5"/>
    <n v="1"/>
    <n v="1"/>
    <n v="0"/>
  </r>
  <r>
    <n v="219"/>
    <s v="Leonardo Gonzalez"/>
    <s v="Ninguna respuesta seleccionada"/>
    <s v="Mantenimiento preventivo "/>
    <s v="Gestión Hídrica El Soldado"/>
    <s v="[Gestión Hídrica El Soldado] Pozo El Melón N° 10 (PEM-10) Nodo A16"/>
    <x v="0"/>
    <d v="2025-10-21T00:00:00"/>
    <s v="Gestión hidrica el soldado (Nicolas Valenzuela)"/>
    <s v="Se realizo ajustes en programación, ya que el sistema no estaba actualizando datos. _x000a_Quedó transmitiendo ok."/>
    <n v="5"/>
    <n v="1"/>
    <n v="1"/>
    <n v="0"/>
  </r>
  <r>
    <n v="224"/>
    <s v="Ángel Zamora"/>
    <s v="Ninguna respuesta seleccionad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r>
  <r>
    <n v="224"/>
    <s v="Ángel Zamora"/>
    <s v="Ninguna respuesta seleccionada"/>
    <s v="Incorporación de variables"/>
    <s v="Biodiversa Chimbarongo"/>
    <s v="[Biodiversa Chimbarongo] Biodiversa Chimbarongo"/>
    <x v="3"/>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r>
  <r>
    <n v="223"/>
    <s v="Leonardo Gonzalez"/>
    <s v="Ninguna respuesta seleccionada"/>
    <s v="Mantenimiento preventivo "/>
    <s v="Gestión hidrica el soldado "/>
    <s v="Piscina 4000"/>
    <x v="0"/>
    <d v="2025-10-22T00:00:00"/>
    <s v="Gestión hidrica el soldado (Nicolas Valenzuela)"/>
    <s v="Realizamos inspección visual del nivel piscina, además revisamos el rebalse hacia el estero."/>
    <n v="5"/>
    <n v="1"/>
    <n v="1"/>
    <n v="0"/>
  </r>
  <r>
    <n v="223"/>
    <s v="Leonardo Gonzalez"/>
    <s v="Ninguna respuesta seleccionada"/>
    <s v="Mantenimiento preventivo "/>
    <s v="Gestión hidrica el soldado "/>
    <s v="Válvulas túnel UG"/>
    <x v="0"/>
    <d v="2025-10-22T00:00:00"/>
    <s v="Gestión hidrica el soldado (Nicolas Valenzuela)"/>
    <s v="Realizamos el corte de flujo hacia túnel sur,dejando el 100%a túnel norte asegurando rebose desde piscina UG hacia piscina 4000 y 3800."/>
    <n v="5"/>
    <n v="1"/>
    <n v="1"/>
    <n v="0"/>
  </r>
  <r>
    <n v="223"/>
    <s v="Leonardo Gonzalez"/>
    <s v="Ninguna respuesta seleccionada"/>
    <s v="Mantenimiento preventivo "/>
    <s v="Gestión Hídrica El Soldado"/>
    <s v="[Gestión Hídrica El Soldado] Caudalimetro Portal de Arenas"/>
    <x v="0"/>
    <d v="2025-10-22T00:00:00"/>
    <s v="Gestión hidrica el soldado (Nicolas Valenzuela)"/>
    <s v="Fuimos al punto ya que no está transmitiendo datos. Nos encontramos con que no hay red eléctrica,  se desconoce el por que."/>
    <n v="5"/>
    <n v="1"/>
    <n v="1"/>
    <n v="0"/>
  </r>
  <r>
    <n v="223"/>
    <s v="Leonardo Gonzalez"/>
    <s v="Ninguna respuesta seleccionada"/>
    <s v="Mantenimiento preventivo "/>
    <s v="Gestión hidrica el soldado "/>
    <s v="Pozos PM exterior "/>
    <x v="0"/>
    <d v="2025-10-22T00:00:00"/>
    <s v="Gestión hidrica el soldado (Nicolas Valenzuela)"/>
    <s v="Realizamos ronda por todos los pozos de monitoreo exteriores  e interiores anotando datos faltantes en planilla de sensores de nivel."/>
    <n v="5"/>
    <n v="1"/>
    <n v="1"/>
    <n v="0"/>
  </r>
  <r>
    <n v="226"/>
    <s v="Ángel Zamora"/>
    <s v="Ninguna respuesta seleccionada"/>
    <s v="Incorporación de variables vdf zona 2"/>
    <s v="Biodiversa Chimbarongo"/>
    <s v="[Biodiversa Chimbarongo] Biodiversa Chimbarongo"/>
    <x v="3"/>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n v="1"/>
    <n v="1"/>
    <n v="1"/>
  </r>
  <r>
    <n v="229"/>
    <s v="Ángel Zamora"/>
    <s v="Ninguna respuesta seleccionada"/>
    <s v="Integración de nuevas variables "/>
    <s v="Biodiversa Chimbarongo"/>
    <s v="[Biodiversa Chimbarongo] Biodiversa Chimbarongo"/>
    <x v="3"/>
    <d v="2025-10-24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n v="1"/>
    <n v="1"/>
    <n v="1"/>
  </r>
  <r>
    <n v="233"/>
    <s v="Leonardo Gonzalez"/>
    <s v="Ninguna respuesta seleccionada"/>
    <s v="Mantenimiento preventivo "/>
    <s v="Gestión Hídrica El Soldado"/>
    <s v="[Gestión Hídrica El Soldado] Lora Piscina 3800"/>
    <x v="0"/>
    <d v="2025-10-27T00:00:00"/>
    <s v="Gestión hidrica el soldado (Nicolas Valenzuela)"/>
    <s v="Realizamos contrastacion en caudalimetro del sector. "/>
    <n v="5"/>
    <n v="1"/>
    <n v="1"/>
    <n v="0"/>
  </r>
  <r>
    <n v="233"/>
    <s v="Leonardo Gonzalez"/>
    <s v="Ninguna respuesta seleccionada"/>
    <s v="Mantenimiento preventivo "/>
    <s v="Gestión hidrica el soldado "/>
    <s v="Caudalimetro no invasivo entrada 3800"/>
    <x v="0"/>
    <d v="2025-10-27T00:00:00"/>
    <s v="Gestión hidrica el soldado (Nicolas Valenzuela)"/>
    <s v="Se realizo contrastacion con caudalimetro no invasivo. "/>
    <n v="5"/>
    <n v="1"/>
    <n v="1"/>
    <n v="0"/>
  </r>
  <r>
    <n v="233"/>
    <s v="Leonardo Gonzalez"/>
    <s v="Ninguna respuesta seleccionada"/>
    <s v="Mantenimiento preventivo "/>
    <s v="Gestión hidrica el soldado "/>
    <s v="Piscina 3800 a TK convencional "/>
    <x v="0"/>
    <d v="2025-10-27T00:00:00"/>
    <s v="Gestión hidrica el soldado (Nicolas Valenzuela)"/>
    <s v="Se realizo contrastacion con caudalimetro no invasivo. "/>
    <n v="5"/>
    <n v="1"/>
    <n v="1"/>
    <n v="0"/>
  </r>
  <r>
    <n v="233"/>
    <s v="Leonardo Gonzalez"/>
    <s v="Ninguna respuesta seleccionada"/>
    <s v="Mantenimiento preventivo "/>
    <s v="Gestión hidrica el soldado "/>
    <s v="Piscina 3800 a RELE"/>
    <x v="0"/>
    <d v="2025-10-27T00:00:00"/>
    <s v="Gestión hidrica el soldado (Nicolas Valenzuela)"/>
    <s v="Se realizo contrastacion con caudalimetro no invasivo. "/>
    <n v="5"/>
    <n v="1"/>
    <n v="1"/>
    <n v="0"/>
  </r>
  <r>
    <n v="231"/>
    <s v="Cristopher Iglesias "/>
    <s v="Ninguna respuesta seleccionada"/>
    <s v="Revisión previa trabajos R3050 y 2700"/>
    <s v="Los Bronces - Riecillos"/>
    <s v="[Los Bronces - Riecillos] R2700 Gateway"/>
    <x v="0"/>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n v="1"/>
    <n v="1"/>
    <n v="1"/>
  </r>
  <r>
    <n v="237"/>
    <s v="Ángel Zamora"/>
    <s v="Ninguna respuesta seleccionada"/>
    <s v="Mantenimiento correctivo "/>
    <s v="Global Tórtolas"/>
    <s v="[Global Tórtolas] Pozo PBO-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r>
  <r>
    <n v="237"/>
    <s v="Ángel Zamora"/>
    <s v="Ninguna respuesta seleccionada"/>
    <s v="Mantenimiento correctivo "/>
    <s v="Global Tórtolas"/>
    <s v="[Global Tórtolas] Pozo PBO-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r>
  <r>
    <n v="236"/>
    <s v="Cristopher Iglesias "/>
    <s v="Ninguna respuesta seleccionada"/>
    <s v="Mantenimiento correctivo R3050 y 2700"/>
    <s v="Los Bronces - Riecillos"/>
    <s v="[Los Bronces - Riecillos] R2700 Gateway"/>
    <x v="0"/>
    <d v="2025-10-28T00:00:00"/>
    <s v="Paula Riquelme"/>
    <s v="Se efectua el bloqueo electrico junto con apoyo AA para realizar cambio de automático general que alimenta la telemetría. "/>
    <n v="5"/>
    <n v="1"/>
    <n v="1"/>
    <n v="1"/>
  </r>
  <r>
    <n v="236"/>
    <s v="Cristopher Iglesias "/>
    <s v="Ninguna respuesta seleccionada"/>
    <s v="Mantenimiento correctivo R3050 y 2700"/>
    <s v="Los Bronces - Riecillos"/>
    <s v="[Los Bronces - Riecillos] R3050 Gateway"/>
    <x v="0"/>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n v="1"/>
    <n v="1"/>
    <n v="1"/>
  </r>
  <r>
    <n v="234"/>
    <s v="Leonardo Gonzalez"/>
    <s v="Ninguna respuesta seleccionada"/>
    <s v="Levantamiento "/>
    <s v="Gestión hidrica el soldado "/>
    <s v="Reforestacion "/>
    <x v="5"/>
    <d v="2025-10-28T00:00:00"/>
    <s v="Gestión hidrica el soldado (Nicolas Valenzuela)"/>
    <s v="Se acompaño a levantamiento técnico en cerro  reforestacion tranque 4. "/>
    <n v="5"/>
    <n v="1"/>
    <n v="1"/>
    <n v="0"/>
  </r>
  <r>
    <n v="234"/>
    <s v="Leonardo Gonzalez"/>
    <s v="Ninguna respuesta seleccionada"/>
    <s v="Levantamiento "/>
    <s v="Gestión Hídrica El Soldado"/>
    <s v="[Gestión Hídrica El Soldado] Pozo Los Litres N° 05 (PLL-05)"/>
    <x v="0"/>
    <d v="2025-10-28T00:00:00"/>
    <s v="Gestión hidrica el soldado (Nicolas Valenzuela)"/>
    <s v="Realizamos el retiro del transmisor de pulsos del caudalimetro para que realicen mantenimiento o recambio ya que está trabado."/>
    <n v="5"/>
    <n v="1"/>
    <n v="1"/>
    <n v="0"/>
  </r>
  <r>
    <n v="240"/>
    <s v="Diego Marchant"/>
    <s v="Ninguna respuesta seleccionada"/>
    <s v="Contrastación de cuadal"/>
    <s v="Gestión Hídrica El Soldado"/>
    <s v="[Gestión Hídrica El Soldado] Pozo Inyección Barrera Hidráulica T4"/>
    <x v="0"/>
    <d v="2025-10-29T00:00:00"/>
    <s v="Superintendencia de Recursos Hídricos. "/>
    <s v="Se realiza contrastación de caudal en arranque BH-T4 en caudalimetro electromagnético, instrumento en terreno marca 8,64 l-s e instrumento patrón 8,06 l-s, obteniendo una leve diferencia entre equipos, pero confiable."/>
    <n v="5"/>
    <n v="1"/>
    <n v="1"/>
    <n v="0"/>
  </r>
  <r>
    <n v="240"/>
    <s v="Diego Marchant"/>
    <s v="Ninguna respuesta seleccionada"/>
    <s v="Contrastación de cuadal"/>
    <s v="Gestión Hídrica El Soldado"/>
    <s v="[Gestión Hídrica El Soldado] Pozo El Melón N° 09 (PEM-09)"/>
    <x v="0"/>
    <d v="2025-10-29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n v="1"/>
    <n v="1"/>
    <n v="0"/>
  </r>
  <r>
    <n v="242"/>
    <s v="Leonardo Gonzalez"/>
    <s v="Ninguna respuesta seleccionada"/>
    <s v="Mantenimiento preventivo y contrastacion "/>
    <s v="Gestión hidrica el soldado "/>
    <s v="BH TRET "/>
    <x v="0"/>
    <d v="2025-10-30T00:00:00"/>
    <s v="Gestión hidrica el soldado (Nicolas Valenzuela)"/>
    <s v="Realizamos contrastacion con caudalimetro no invasivo en pi ping."/>
    <n v="5"/>
    <n v="1"/>
    <n v="1"/>
    <n v="0"/>
  </r>
  <r>
    <n v="242"/>
    <s v="Leonardo Gonzalez"/>
    <s v="Ninguna respuesta seleccionada"/>
    <s v="Mantenimiento preventivo y contrastacion "/>
    <s v="Gestión Hídrica El Soldado"/>
    <s v="[Gestión Hídrica El Soldado] Pozo El Melón N° 09 (PEM-09)"/>
    <x v="0"/>
    <d v="2025-10-30T00:00:00"/>
    <s v="Gestión hidrica el soldado (Nicolas Valenzuela)"/>
    <s v="Se realizo contrastacion y además se realizaron modificaciones en plataforma y electrovalvula "/>
    <n v="5"/>
    <n v="1"/>
    <n v="1"/>
    <n v="0"/>
  </r>
  <r>
    <n v="242"/>
    <s v="Leonardo Gonzalez"/>
    <s v="Ninguna respuesta seleccionada"/>
    <s v="Mantenimiento preventivo y contrastacion "/>
    <s v="Gestión Hídrica El Soldado"/>
    <s v="[Gestión Hídrica El Soldado] Pozo Los Litres N° 05 (PLL-05)"/>
    <x v="0"/>
    <d v="2025-10-30T00:00:00"/>
    <s v="Gestión hidrica el soldado (Nicolas Valenzuela)"/>
    <s v="Fuimos a revisar caudalimetro, pero no se pudo realizar por haber trabajos de izaje en el lugar"/>
    <n v="5"/>
    <n v="1"/>
    <n v="1"/>
    <n v="0"/>
  </r>
  <r>
    <n v="242"/>
    <s v="Leonardo Gonzalez"/>
    <s v="Ninguna respuesta seleccionada"/>
    <s v="Mantenimiento preventivo y contrastacion "/>
    <s v="Gestión Hídrica El Soldado"/>
    <s v="[Gestión Hídrica El Soldado] Pozo Los Litres N° 01 (PLL-01) Nodo A12"/>
    <x v="0"/>
    <d v="2025-10-30T00:00:00"/>
    <s v="Gestión hidrica el soldado (Nicolas Valenzuela)"/>
    <s v="En este punto realizamos el conexionado de transmisor de pulsos del caudalimetro yá que había sido reemplazo por problemas."/>
    <n v="5"/>
    <n v="1"/>
    <n v="1"/>
    <n v="0"/>
  </r>
  <r>
    <n v="242"/>
    <s v="Leonardo Gonzalez"/>
    <s v="Ninguna respuesta seleccionada"/>
    <s v="Mantenimiento preventivo y contrastacion "/>
    <s v="Gestión Hídrica El Soldado"/>
    <s v="[Gestión Hídrica El Soldado] Pozo Los Litres N° 02 (PLL-02) Nodo A13"/>
    <x v="0"/>
    <d v="2025-10-30T00:00:00"/>
    <s v="Gestión hidrica el soldado (Nicolas Valenzuela)"/>
    <s v="En este punto realizamos el conexionado de transmisor de pulsos del caudalimetro yá que había sido reemplazo por problemas."/>
    <n v="5"/>
    <n v="1"/>
    <n v="1"/>
    <n v="0"/>
  </r>
  <r>
    <n v="241"/>
    <s v="Ángel Zamora"/>
    <s v="Ninguna respuesta seleccionada"/>
    <s v="Mantenimiento correctivo "/>
    <s v="Global Tórtolas"/>
    <s v="[Global Tórtolas] Pozo PBM5"/>
    <x v="1"/>
    <d v="2025-10-30T00:00:00"/>
    <s v="AA LT Paula Riquelme "/>
    <s v="Permisos de bloqueos ok_x000a_Coordinación con eléctrico ok_x000a_Coordinación con operador y jefe tranque ok_x000a_Cambio de tablero ok_x000a_Configuración de caudalimetro y A.R. ok"/>
    <n v="5"/>
    <n v="0"/>
    <n v="0"/>
    <n v="0"/>
  </r>
  <r>
    <n v="241"/>
    <s v="Ángel Zamora"/>
    <s v="Ninguna respuesta seleccionada"/>
    <s v="Mantenimiento correctivo "/>
    <s v="Global Tórtolas"/>
    <s v="[Global Tórtolas] Pozo PBM5"/>
    <x v="1"/>
    <d v="2025-10-30T00:00:00"/>
    <s v="AA LT Paula Riquelme "/>
    <s v="Permisos de bloqueos ok_x000a_Coordinación con eléctrico ok_x000a_Coordinación con operador y jefe tranque ok_x000a_Cambio de tablero ok_x000a_Configuración de caudalimetro y A.R. ok"/>
    <n v="5"/>
    <n v="0"/>
    <n v="0"/>
    <n v="0"/>
  </r>
  <r>
    <n v="241"/>
    <s v="Ángel Zamora"/>
    <s v="Ninguna respuesta seleccionada"/>
    <s v="Mantenimiento correctivo "/>
    <s v="Global Tórtolas"/>
    <s v="[Global Tórtolas] Pozo PBO-1"/>
    <x v="1"/>
    <d v="2025-10-30T00:00:00"/>
    <s v="AA LT Paula Riquelme "/>
    <s v="Pozo PBO 01 finalizado con éxito, por problemas en cargar documentos no se pudo realizar el dia 28 de octubre, es solo información del s.h. el resto quedo ok."/>
    <n v="5"/>
    <n v="0"/>
    <n v="0"/>
    <n v="0"/>
  </r>
  <r>
    <n v="247"/>
    <s v="Juan José López"/>
    <s v="Ninguna respuesta seleccionada"/>
    <s v="Trabajos administrativo "/>
    <s v="R.E31 we2025-01166"/>
    <s v="PP-31"/>
    <x v="4"/>
    <d v="2025-11-03T00:00:00"/>
    <s v="Patricio Cortes "/>
    <s v="Se estuvo trabajando en el informe que proporciona los trabajos realizados en terreno "/>
    <n v="5"/>
    <n v="1"/>
    <n v="1"/>
    <n v="1"/>
  </r>
  <r>
    <n v="244"/>
    <s v="Leonardo Gonzalez"/>
    <s v="Ninguna respuesta seleccionada"/>
    <s v="Mantenimiento preventivo e instalación "/>
    <s v="Recursos Hidricos el soldado "/>
    <s v="Bodega de recursos hidricos "/>
    <x v="0"/>
    <d v="2025-11-03T00:00:00"/>
    <s v="Gestión hidrica el soldado (Nicolas Valenzuela)"/>
    <s v="Se realizo check list de herramientas. _x000a_Se realizo marca de herramientas correspondiente al mes 2 cinta azul."/>
    <n v="5"/>
    <n v="1"/>
    <n v="1"/>
    <n v="0"/>
  </r>
  <r>
    <n v="244"/>
    <s v="Leonardo Gonzalez"/>
    <s v="Ninguna respuesta seleccionada"/>
    <s v="Mantenimiento preventivo e instalación "/>
    <s v="Gestión Hídrica El Soldado"/>
    <s v="[Gestión Hídrica El Soldado] Sector -300 Gateway"/>
    <x v="0"/>
    <d v="2025-11-03T00:00:00"/>
    <s v="Gestión hidrica el soldado (Nicolas Valenzuela)"/>
    <s v="Realizamos el cambio de flujo de aguas túnel._x000a_Guiando todo el flujo hacia túnel sur para poder ejecutar trabajos en estero. "/>
    <n v="5"/>
    <n v="1"/>
    <n v="1"/>
    <n v="0"/>
  </r>
  <r>
    <n v="244"/>
    <s v="Leonardo Gonzalez"/>
    <s v="Ninguna respuesta seleccionada"/>
    <s v="Mantenimiento preventivo e instalación "/>
    <s v="Gestión Hídrica El Soldado"/>
    <s v="[Gestión Hídrica El Soldado] Estero El Gallo"/>
    <x v="3"/>
    <d v="2025-11-03T00:00:00"/>
    <s v="Gestión hidrica el soldado (Nicolas Valenzuela)"/>
    <s v="Realizamos avances en instalacion de sensores de velocidad, canalización y cableado en estero."/>
    <n v="5"/>
    <n v="1"/>
    <n v="1"/>
    <n v="0"/>
  </r>
  <r>
    <n v="248"/>
    <s v="Juan José López"/>
    <s v="Ninguna respuesta seleccionada"/>
    <s v="Informe de avance sobre los trabajos R.E-31 we2025-01166"/>
    <s v="We2025-01166"/>
    <s v="PP-31"/>
    <x v="4"/>
    <d v="2025-11-04T00:00:00"/>
    <s v="Patricio Cortes "/>
    <s v="Se realiza avance de informe de terreno que proporciona la información sobre los trabajos que se han ejecutado en terreno."/>
    <n v="5"/>
    <n v="1"/>
    <n v="1"/>
    <n v="1"/>
  </r>
  <r>
    <n v="246"/>
    <s v="Leonardo Gonzalez"/>
    <s v="Ninguna respuesta seleccionada"/>
    <s v="Mantenimiento preventivo e instalación "/>
    <s v="Recursos hidricos el soldado "/>
    <s v="Túnel norte "/>
    <x v="0"/>
    <d v="2025-11-04T00:00:00"/>
    <s v="Gestión hidrica el soldado (Nicolas Valenzuela)"/>
    <s v="Realizamos el cambio de flujo desde túnel norte hacía túnel sur"/>
    <n v="5"/>
    <n v="1"/>
    <n v="1"/>
    <n v="0"/>
  </r>
  <r>
    <n v="246"/>
    <s v="Leonardo Gonzalez"/>
    <s v="Ninguna respuesta seleccionada"/>
    <s v="Mantenimiento preventivo e instalación "/>
    <s v="Gestión hidrica el soldado "/>
    <s v="Rebalse piscina UG a estero el gallo"/>
    <x v="0"/>
    <d v="2025-11-04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n v="1"/>
    <n v="1"/>
    <n v="0"/>
  </r>
  <r>
    <n v="245"/>
    <s v="Ángel Zamora"/>
    <s v="Ninguna respuesta seleccionada"/>
    <s v="Integración de sensor de nivel pozo, configuración de telemetria rutina Modbus "/>
    <s v="Global Tórtolas"/>
    <s v="[Global Tórtolas] Pozo PBM5"/>
    <x v="1"/>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n v="0"/>
    <n v="0"/>
    <n v="0"/>
  </r>
  <r>
    <n v="249"/>
    <s v="Leonardo Gonzalez"/>
    <s v="Ninguna respuesta seleccionada"/>
    <s v="Mantenimiento e instalación "/>
    <s v="Recursos hidricos el soldado "/>
    <s v="Rebalse piscina UG-300 hacia estero el gallo "/>
    <x v="0"/>
    <d v="2025-11-05T00:00:00"/>
    <s v="Gestión hidrica el soldado (Nicolas Valenzuela)"/>
    <s v="Hoy se realizo configuración en el equipo teledyne y además conexionado entre tablero y equipo. _x000a_Queda pendiente configuración de UC 300."/>
    <n v="5"/>
    <n v="1"/>
    <n v="1"/>
    <n v="0"/>
  </r>
  <r>
    <n v="253"/>
    <s v="Leonardo Gonzalez"/>
    <s v="Ninguna respuesta seleccionada"/>
    <s v="Instalación y configuración "/>
    <s v="Gestión hidrica el soldado "/>
    <s v="Mina UG estero el gallo"/>
    <x v="0"/>
    <d v="2025-11-06T00:00:00"/>
    <s v="Gestión hidrica el soldado (Nicolas Valenzuela)"/>
    <s v="Se continúa con configuración de equipo además se invierte el sentido de los sensor de velocidad. "/>
    <n v="5"/>
    <n v="1"/>
    <n v="1"/>
    <n v="0"/>
  </r>
  <r>
    <n v="253"/>
    <s v="Leonardo Gonzalez"/>
    <s v="Ninguna respuesta seleccionada"/>
    <s v="Instalación y configuración "/>
    <s v="Gestión Hídrica El Soldado"/>
    <s v="[Gestión Hídrica El Soldado] Estero El Gallo"/>
    <x v="0"/>
    <d v="2025-11-06T00:00:00"/>
    <s v="Gestión hidrica el soldado (Nicolas Valenzuela)"/>
    <s v="Se realizo traslado de materiales, además se realizo montaje de panel solar._x000a_Se realizo montaje de tableros we connect y we solar."/>
    <n v="5"/>
    <n v="1"/>
    <n v="1"/>
    <n v="0"/>
  </r>
  <r>
    <n v="255"/>
    <s v="Cristopher Iglesias "/>
    <s v="Ninguna respuesta seleccionada"/>
    <s v="Mantnimiento correctivo R3050 y 2700"/>
    <s v="Los Bronces - Riecillos"/>
    <s v="[Los Bronces - Riecillos] R3050 Caudalimetro E"/>
    <x v="0"/>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n v="1"/>
    <n v="0"/>
    <n v="0"/>
  </r>
  <r>
    <n v="255"/>
    <s v="Cristopher Iglesias "/>
    <s v="Ninguna respuesta seleccionada"/>
    <s v="Mantnimiento correctivo R3050 y 2700"/>
    <s v="Los Bronces - Riecillos"/>
    <s v="[Los Bronces - Riecillos] R2700 Caudalimetro B"/>
    <x v="0"/>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n v="1"/>
    <n v="0"/>
    <n v="0"/>
  </r>
  <r>
    <n v="254"/>
    <s v="Leonardo Gonzalez"/>
    <s v="Ninguna respuesta seleccionada"/>
    <s v="Instalación RQ30 estero el gallo"/>
    <s v="Gestión Hídrica El Soldado"/>
    <s v="[Gestión Hídrica El Soldado] Estero El Gallo"/>
    <x v="0"/>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n v="1"/>
    <n v="1"/>
    <n v="0"/>
  </r>
  <r>
    <n v="258"/>
    <s v="Elías Sanchez"/>
    <s v="Ninguna respuesta seleccionada"/>
    <s v="Mantenimiento preventivo "/>
    <s v="Gestión Hídrica El Soldado"/>
    <s v="[Gestión Hídrica El Soldado] Pozo Los Litres N° 01 (PLL-01) Nodo A12"/>
    <x v="0"/>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n v="1"/>
    <n v="0"/>
    <n v="0"/>
  </r>
  <r>
    <n v="258"/>
    <s v="Elías Sanchez"/>
    <s v="Ninguna respuesta seleccionada"/>
    <s v="Mantenimiento preventivo "/>
    <s v="Gestión Hídrica El Soldado"/>
    <s v="[Gestión Hídrica El Soldado] Sector -300 Gateway"/>
    <x v="0"/>
    <d v="2025-11-10T00:00:00"/>
    <s v="Superintendencia de recursos hidricos "/>
    <s v="Se cierra válvula de piscina UG hacia piscina 3800 por solicitud de cliente. "/>
    <n v="5"/>
    <n v="1"/>
    <n v="0"/>
    <n v="0"/>
  </r>
  <r>
    <n v="258"/>
    <s v="Elías Sanchez"/>
    <s v="Ninguna respuesta seleccionada"/>
    <s v="Mantenimiento preventivo "/>
    <s v="Gestión Hídrica El Soldado"/>
    <s v="[Gestión Hídrica El Soldado] Pozo El Melón N° 04 (PEM-04) Nodo A11"/>
    <x v="2"/>
    <d v="2025-11-10T00:00:00"/>
    <s v="Superintendencia de recursos hidricos "/>
    <s v="Cambio de sonda multiparamétrica para enviar a calibración_x000a__x000a_Limpieza a flowcell, contrastación y validación de datos. "/>
    <n v="5"/>
    <n v="1"/>
    <n v="0"/>
    <n v="0"/>
  </r>
  <r>
    <n v="257"/>
    <s v="Juan José López"/>
    <s v="Ninguna respuesta seleccionada"/>
    <s v="Instalación y configuración "/>
    <s v="Global Tórtolas"/>
    <s v="[Global Tórtolas] Pozo PP-29"/>
    <x v="5"/>
    <d v="2025-11-10T00:00:00"/>
    <s v="Patricio Cortez "/>
    <s v="Se encuentra pendiente de la instalación del panel fotovoltaico y canalización por personal de ASAP. "/>
    <n v="5"/>
    <n v="0"/>
    <n v="0"/>
    <n v="0"/>
  </r>
  <r>
    <n v="257"/>
    <s v="Juan José López"/>
    <s v="Ninguna respuesta seleccionada"/>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n v="0"/>
    <n v="0"/>
    <n v="0"/>
  </r>
  <r>
    <n v="257"/>
    <s v="Juan José López"/>
    <s v="Ninguna respuesta seleccionada"/>
    <s v="Instalación y configuración "/>
    <s v="Global Tórtolas"/>
    <s v="[Global Tórtolas] Pozo PMO 08 Nodo Nuevo"/>
    <x v="3"/>
    <d v="2025-11-10T00:00:00"/>
    <s v="Patricio Cortez "/>
    <s v="Conexión entre panel solar tablero we conect solar además se canaliza a tablero we nodo Sutron la comunicación y alimentación "/>
    <n v="5"/>
    <n v="0"/>
    <n v="0"/>
    <n v="0"/>
  </r>
  <r>
    <n v="257"/>
    <s v="Juan José López"/>
    <s v="Ninguna respuesta seleccionada"/>
    <s v="Instalación y configuración "/>
    <s v="Global Tórtolas"/>
    <s v="[Global Tórtolas] Pozo PME-09C"/>
    <x v="3"/>
    <d v="2025-11-10T00:00:00"/>
    <s v="Patricio Cortez "/>
    <s v="Conexión entre panel solar tablero we conect solar además se canaliza a tablero we nodo Sutron la comunicación y alimentación "/>
    <n v="5"/>
    <n v="0"/>
    <n v="0"/>
    <n v="0"/>
  </r>
  <r>
    <n v="260"/>
    <s v="Elías Sanchez"/>
    <s v="Ninguna respuesta seleccionada"/>
    <s v="Mantenimiento preventivo"/>
    <s v="Gestión Hídrica El Soldado"/>
    <s v="[Gestión Hídrica El Soldado] Pozo Los Litres N° 02 (PLL-02) Nodo A13"/>
    <x v="0"/>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n v="1"/>
    <n v="1"/>
    <n v="0"/>
  </r>
  <r>
    <n v="260"/>
    <s v="Elías Sanchez"/>
    <s v="Ninguna respuesta seleccionada"/>
    <s v="Mantenimiento preventivo"/>
    <s v="Gestión Hídrica El Soldado"/>
    <s v="[Gestión Hídrica El Soldado] Estero El Gallo"/>
    <x v="3"/>
    <d v="2025-11-11T00:00:00"/>
    <s v="Superintendencia de recursos hidricos "/>
    <s v="Se instala sonda multiparametrica nueva, se conecta en tablero We control_x000a_Queda pendiente la configuración de lector RQ30._x000a_Se finaliza canalizaciones y conexionado en el punto"/>
    <n v="5"/>
    <n v="1"/>
    <n v="1"/>
    <n v="0"/>
  </r>
  <r>
    <n v="260"/>
    <s v="Elías Sanchez"/>
    <s v="Ninguna respuesta seleccionada"/>
    <s v="Mantenimiento preventivo"/>
    <s v="Gestión Hídrica El Soldado"/>
    <s v="[Gestión Hídrica El Soldado] Estero El Gallo"/>
    <x v="3"/>
    <d v="2025-11-11T00:00:00"/>
    <s v="Superintendencia de recursos hidricos "/>
    <s v="Se instala sonda multiparametrica nueva, se conecta en tablero We control_x000a_Queda pendiente la configuración de lector RQ30._x000a_Se finaliza canalizaciones y conexionado en el punto"/>
    <n v="5"/>
    <n v="1"/>
    <n v="1"/>
    <n v="0"/>
  </r>
  <r>
    <n v="263"/>
    <s v="David  Loncopan"/>
    <s v="Ninguna respuesta seleccionada"/>
    <s v="Ejecución de proyectos de reintegración de telemetria "/>
    <s v="SSR Pocochay"/>
    <s v="[SSR Pocochay] Recinto Estanque"/>
    <x v="3"/>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n v="1"/>
    <n v="1"/>
    <n v="1"/>
  </r>
  <r>
    <n v="262"/>
    <s v="Elías Sanchez"/>
    <s v="Ninguna respuesta seleccionada"/>
    <s v="Configuraciones "/>
    <s v="Gestión Hídrica El Soldado"/>
    <s v="[Gestión Hídrica El Soldado] Estero El Gallo"/>
    <x v="0"/>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n v="1"/>
    <n v="0"/>
    <n v="0"/>
  </r>
  <r>
    <n v="262"/>
    <s v="Elías Sanchez"/>
    <s v="Ninguna respuesta seleccionada"/>
    <s v="Configuraciones "/>
    <s v="Gestión hidrica el soldado "/>
    <s v="Casino el cobre"/>
    <x v="0"/>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n v="1"/>
    <n v="0"/>
    <n v="0"/>
  </r>
  <r>
    <n v="270"/>
    <s v="Matías Pomar"/>
    <s v="Ninguna respuesta seleccionada"/>
    <s v="En Asset pozo Integración caudalimetro y en Asset estanque estados generales a demás de todas las pruebas de funcionamiento correcto en todo el proyecto pocochay"/>
    <s v="SSR Pocochay"/>
    <s v="[SSR Pocochay] Recinto Pozo"/>
    <x v="3"/>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n v="1"/>
    <n v="1"/>
    <n v="1"/>
  </r>
  <r>
    <n v="267"/>
    <s v="Cristopher Iglesias "/>
    <s v="Ninguna respuesta seleccionada"/>
    <s v="Mantenimiento correctivo telemetria "/>
    <s v="Los Bronces - Riecillos"/>
    <s v="[Los Bronces - Riecillos] R2700 Gateway"/>
    <x v="0"/>
    <d v="2025-11-13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n v="0"/>
    <n v="0"/>
    <n v="0"/>
  </r>
  <r>
    <n v="267"/>
    <s v="Cristopher Iglesias "/>
    <s v="Ninguna respuesta seleccionada"/>
    <s v="Mantenimiento correctivo telemetria "/>
    <s v="Los Bronces - Riecillos"/>
    <s v="[Los Bronces - Riecillos] R3050 Gateway"/>
    <x v="0"/>
    <d v="2025-11-13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n v="0"/>
    <n v="0"/>
    <n v="0"/>
  </r>
  <r>
    <n v="266"/>
    <s v="Elías Sanchez"/>
    <s v="Ninguna respuesta seleccionada"/>
    <s v="Configuraciones "/>
    <s v="Gestión Hídrica El Soldado"/>
    <s v="[Gestión Hídrica El Soldado] Pozo Los Litres N° 01 (PLL-01) Nodo A12"/>
    <x v="0"/>
    <d v="2025-11-13T00:00:00"/>
    <s v="Superintendencia de recursos hidricos "/>
    <s v="Se agrega el volumen acumulado total en rutina de PLC para que se pueda reflejar en plataforma. _x000a__x000a_Observaciones _x000a_Flange de caudalimetro aún sigue con fuga"/>
    <n v="5"/>
    <n v="1"/>
    <n v="1"/>
    <n v="0"/>
  </r>
  <r>
    <n v="266"/>
    <s v="Elías Sanchez"/>
    <s v="Ninguna respuesta seleccionada"/>
    <s v="Configuraciones "/>
    <s v="Gestión Hídrica El Soldado"/>
    <s v="[Gestión Hídrica El Soldado] Pozo Los Litres N° 02 (PLL-02) Nodo A13"/>
    <x v="0"/>
    <d v="2025-11-13T00:00:00"/>
    <s v="Superintendencia de recursos hidricos "/>
    <s v="Se agrega el volumen acumulado total en rutina de PLC para que se pueda reflejar en plataforma. _x000a_Misma configuración qué en PLL-01 "/>
    <n v="5"/>
    <n v="1"/>
    <n v="1"/>
    <n v="0"/>
  </r>
  <r>
    <n v="266"/>
    <s v="Elías Sanchez"/>
    <s v="Ninguna respuesta seleccionada"/>
    <s v="Configuraciones "/>
    <s v="Gestión Hídrica El Soldado"/>
    <s v="[Gestión Hídrica El Soldado] PM-2 Nodo B18"/>
    <x v="0"/>
    <d v="2025-11-13T00:00:00"/>
    <s v="Superintendencia de recursos hidricos "/>
    <s v="Se rescata las configuraciones del uc300 para proceder de la misma manera en Estero el gallo"/>
    <n v="5"/>
    <n v="1"/>
    <n v="1"/>
    <n v="0"/>
  </r>
  <r>
    <n v="266"/>
    <s v="Elías Sanchez"/>
    <s v="Ninguna respuesta seleccionada"/>
    <s v="Configuraciones "/>
    <s v="Gestión Hídrica El Soldado"/>
    <s v="[Gestión Hídrica El Soldado] Estero El Gallo"/>
    <x v="0"/>
    <d v="2025-11-13T00:00:00"/>
    <s v="Superintendencia de recursos hidricos "/>
    <s v="Se realizan configuraciones de sonda multiparametrica, RQ30, y del punto por completo._x000a_Se agregan rutinas de lectura al PLC, y se deja transmitiendo en plataforma todas las variables correspondientes. "/>
    <n v="5"/>
    <n v="1"/>
    <n v="1"/>
    <n v="0"/>
  </r>
  <r>
    <n v="268"/>
    <s v="Cristopher Iglesias "/>
    <s v="Ninguna respuesta seleccionada"/>
    <s v="Contrastación Caudalimetro E"/>
    <s v="Los Bronces - Riecillos"/>
    <s v="[Los Bronces - Riecillos] R3050 Caudalimetro E"/>
    <x v="0"/>
    <d v="2025-11-14T00:00:00"/>
    <s v="Paula Riquelme"/>
    <s v="Se realiza contrastación de caudalimetro E, se logra hacer mediciones y registrar fotograficamente los resultados. Las mediciones arrojan un desfase de aproximadamente 60l-s entre el equipo patrón y el instrumento en terreno."/>
    <n v="5"/>
    <n v="1"/>
    <n v="1"/>
    <n v="0"/>
  </r>
  <r>
    <n v="272"/>
    <s v="Leonardo Gonzalez"/>
    <s v="Ninguna respuesta seleccionada"/>
    <s v="Mantenimiento preventivo "/>
    <s v="Gestión Hídrica El Soldado"/>
    <s v="[Gestión Hídrica El Soldado] Estero El Gallo"/>
    <x v="0"/>
    <d v="2025-11-17T00:00:00"/>
    <s v="Gestión hidrica el soldado (Nicolas Valenzuela)"/>
    <s v="Se realizo inspección en equipo estero el gallo, pantalla se encuentra con problemas "/>
    <n v="5"/>
    <n v="1"/>
    <n v="1"/>
    <n v="0"/>
  </r>
  <r>
    <n v="272"/>
    <s v="Leonardo Gonzalez"/>
    <s v="Ninguna respuesta seleccionada"/>
    <s v="Mantenimiento preventivo "/>
    <s v="Gestión Hídrica El Soldado"/>
    <s v="[Gestión Hídrica El Soldado] Pozo El Melón N° 10 (PEM-10) Nodo A16"/>
    <x v="0"/>
    <d v="2025-11-17T00:00:00"/>
    <s v="Gestión hidrica el soldado (Nicolas Valenzuela)"/>
    <s v="Se realizo cambio de sonda multiparametrica, además se da revisión de su correcto funcionamiento. "/>
    <n v="5"/>
    <n v="1"/>
    <n v="1"/>
    <n v="0"/>
  </r>
  <r>
    <n v="272"/>
    <s v="Leonardo Gonzalez"/>
    <s v="Ninguna respuesta seleccionada"/>
    <s v="Mantenimiento preventivo "/>
    <s v="Gestión Hídrica El Soldado"/>
    <s v="[Gestión Hídrica El Soldado] Pozo El Melón N° 09 (PEM-09)"/>
    <x v="0"/>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n v="1"/>
    <n v="1"/>
    <n v="0"/>
  </r>
  <r>
    <n v="272"/>
    <s v="Leonardo Gonzalez"/>
    <s v="Ninguna respuesta seleccionada"/>
    <s v="Mantenimiento preventivo "/>
    <s v="Gestión Hídrica El Soldado"/>
    <s v="[Gestión Hídrica El Soldado] Pozo Los Litres N° 01 (PLL-01) Nodo A12"/>
    <x v="0"/>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n v="1"/>
    <n v="1"/>
    <n v="0"/>
  </r>
  <r>
    <n v="272"/>
    <s v="Leonardo Gonzalez"/>
    <s v="Ninguna respuesta seleccionada"/>
    <s v="Mantenimiento preventivo "/>
    <s v="Gestión Hídrica El Soldado"/>
    <s v="[Gestión Hídrica El Soldado] Pozo Los Litres N° 05 (PLL-05)"/>
    <x v="0"/>
    <d v="2025-11-17T00:00:00"/>
    <s v="Gestión hidrica el soldado (Nicolas Valenzuela)"/>
    <s v="LGO tranque nos pidió revisión del pozo los litres 5 ya que en plataforma no le aparece caudal. _x000a_Se realizo la instalación del transmisor de pulsos  y se soluciona el problema. "/>
    <n v="5"/>
    <n v="1"/>
    <n v="1"/>
    <n v="0"/>
  </r>
  <r>
    <n v="276"/>
    <s v="Leonardo Gonzalez"/>
    <s v="Ninguna respuesta seleccionada"/>
    <s v="Mantenimiento preventivo "/>
    <s v="Gestión Hídrica El Soldado"/>
    <s v="[Gestión Hídrica El Soldado] Pozo Inyección Barrera Hidráulica PI20"/>
    <x v="0"/>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n v="1"/>
    <n v="1"/>
    <n v="0"/>
  </r>
  <r>
    <n v="276"/>
    <s v="Leonardo Gonzalez"/>
    <s v="Ninguna respuesta seleccionada"/>
    <s v="Mantenimiento preventivo "/>
    <s v="Gestión Hídrica El Soldado"/>
    <s v="[Gestión Hídrica El Soldado] Pozo El Melón N° 02 (PEM-02) Gateway A"/>
    <x v="0"/>
    <d v="2025-11-18T00:00:00"/>
    <s v="Gestión hidrica el soldado (Nicolas Valenzuela)"/>
    <s v="Se realizo cambio de sonda multiparametrica. Volvió la que corresponde al pozo. Se retira la de reemplazo."/>
    <n v="5"/>
    <n v="1"/>
    <n v="1"/>
    <n v="0"/>
  </r>
  <r>
    <n v="276"/>
    <s v="Leonardo Gonzalez"/>
    <s v="Ninguna respuesta seleccionada"/>
    <s v="Mantenimiento preventivo "/>
    <s v="Gestión Hídrica El Soldado"/>
    <s v="[Gestión Hídrica El Soldado] Pozo El Melón N° 02 (PEM-02) Gateway A"/>
    <x v="0"/>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n v="1"/>
    <n v="1"/>
    <n v="0"/>
  </r>
  <r>
    <n v="274"/>
    <s v="Juan José López"/>
    <s v="Ninguna respuesta seleccionada"/>
    <s v="Conexión y configuración "/>
    <s v="Resolución 31 we2025-01166"/>
    <s v="PME-08, PME-09, PP-29, PP-31, PMO-08, PMO-15, Dren MO"/>
    <x v="5"/>
    <d v="2025-11-18T00:00:00"/>
    <s v="Patricio Cortez "/>
    <s v="Se realiza inspección y configuración para la lectura de los equipos en terreno con la intención de generar la integración de los equipo Sutron y obtención de lectura y transmisión a plataforma"/>
    <n v="5"/>
    <n v="0"/>
    <n v="0"/>
    <n v="0"/>
  </r>
  <r>
    <n v="280"/>
    <s v="Juan José López"/>
    <s v="WE2025-01166"/>
    <s v="Conexión y configuración "/>
    <s v="Global Tórtolas"/>
    <s v="[Global Tórtolas] Pozo PME-08L"/>
    <x v="3"/>
    <d v="2025-11-19T00:00:00"/>
    <s v="Patricio Cortes "/>
    <s v="Se genera la instalación del recinto PME-08._x000a_Se encuentra la la integración de las variables "/>
    <n v="5"/>
    <n v="0"/>
    <n v="0"/>
    <n v="0"/>
  </r>
  <r>
    <n v="280"/>
    <s v="Juan José López"/>
    <s v="WE2025-01166"/>
    <s v="Conexión y configuración "/>
    <s v="Global Tórtolas"/>
    <s v="[Global Tórtolas] Pozo PME-09C"/>
    <x v="3"/>
    <d v="2025-11-19T00:00:00"/>
    <s v="Patricio Cortes "/>
    <s v="Se genera el término de la instalación en el recinto PME-09._x000a_El punto se encuentra visualizando las variables en plataforma."/>
    <n v="5"/>
    <n v="0"/>
    <n v="0"/>
    <n v="0"/>
  </r>
  <r>
    <n v="280"/>
    <s v="Juan José López"/>
    <s v="WE2025-01166"/>
    <s v="Conexión y configuración "/>
    <s v="Global Tórtolas"/>
    <s v="[Global Tórtolas] Pozo PMO-15C"/>
    <x v="3"/>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n v="0"/>
    <n v="0"/>
    <n v="0"/>
  </r>
  <r>
    <n v="278"/>
    <s v="Elías Sanchez"/>
    <s v="WE2023-1032"/>
    <s v="Configuraciones "/>
    <s v="Gestión hidrica el soldado "/>
    <s v="Descarga el gallo mina UG"/>
    <x v="0"/>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n v="1"/>
    <n v="1"/>
    <n v="0"/>
  </r>
  <r>
    <n v="278"/>
    <s v="Elías Sanchez"/>
    <s v="WE2023-1032"/>
    <s v="Configuraciones "/>
    <s v="Gestión Hídrica El Soldado"/>
    <s v="[Gestión Hídrica El Soldado] Pozo Inyección Barrera Hidráulica PI17"/>
    <x v="0"/>
    <d v="2025-11-19T00:00:00"/>
    <s v="Superintendencia de recursos hidricos "/>
    <s v="No se encontraba actualizando en plataforma y se acude al punto a verificar la situación. _x000a_Se detecta válvula vortex trabada. _x000a_Se revisa programa de PLC _x000a_"/>
    <n v="5"/>
    <n v="1"/>
    <n v="1"/>
    <n v="0"/>
  </r>
  <r>
    <n v="278"/>
    <s v="Elías Sanchez"/>
    <s v="WE2023-1032"/>
    <s v="Configuraciones "/>
    <s v="Gestión Hídrica El Soldado"/>
    <s v="[Gestión Hídrica El Soldado] Pozo Inyección Barrera Hidráulica PI20"/>
    <x v="0"/>
    <d v="2025-11-19T00:00:00"/>
    <s v="Superintendencia de recursos hidricos "/>
    <s v="Se detecta fuga de agua en el punto a través de la base de cemento del pozo"/>
    <n v="5"/>
    <n v="1"/>
    <n v="1"/>
    <n v="0"/>
  </r>
  <r>
    <n v="277"/>
    <s v="Felipe Riquelme"/>
    <s v="Otro"/>
    <s v="Instalación de 2 monitores que reingresan después de proceso de garantía."/>
    <s v="Sala de control - lipigas"/>
    <s v="Sala de control Lipigas."/>
    <x v="3"/>
    <d v="2025-11-19T00:00:00"/>
    <s v="Lipigas "/>
    <s v="Se instalan 2 monitores lenovo quedando ok y configurados._x000a_Se retira otro monitor para ser enviado a servicio técnico."/>
    <n v="5"/>
    <n v="1"/>
    <n v="1"/>
    <n v="1"/>
  </r>
  <r>
    <n v="283"/>
    <s v="Diego Marchant"/>
    <s v="WE2023-1032"/>
    <s v="Solicitud cliente"/>
    <s v="Gestión Hídrica El Soldado"/>
    <s v="Arranque BH TRET"/>
    <x v="0"/>
    <d v="2025-11-20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n v="1"/>
    <n v="1"/>
    <n v="0"/>
  </r>
  <r>
    <n v="283"/>
    <s v="Diego Marchant"/>
    <s v="WE2023-1032"/>
    <s v="Solicitud cliente"/>
    <s v="Gestión Hídrica El Soldado"/>
    <s v="[Gestión Hídrica El Soldado] PM-3 Nodo B19"/>
    <x v="0"/>
    <d v="2025-11-20T00:00:00"/>
    <s v="Gestión Hídrica El Soldado"/>
    <s v="Se realiza visita a recinto, el cual se obtiene largo de cable sensor hidrostatico, el cual es de 20mts."/>
    <n v="5"/>
    <n v="1"/>
    <n v="1"/>
    <n v="0"/>
  </r>
  <r>
    <n v="283"/>
    <s v="Diego Marchant"/>
    <s v="WE2023-1032"/>
    <s v="Solicitud cliente"/>
    <s v="Gestión Hídrica El Soldado"/>
    <s v="[Gestión Hídrica El Soldado] PM-4 Nodo B20"/>
    <x v="0"/>
    <d v="2025-11-20T00:00:00"/>
    <s v="Gestión Hídrica El Soldado"/>
    <s v="Se realiza visita a recinto, el cual se obtiene largo de cable sensor hidrostatico, el cual es de 20mts."/>
    <n v="5"/>
    <n v="1"/>
    <n v="1"/>
    <n v="0"/>
  </r>
  <r>
    <n v="282"/>
    <s v="Ángel Zamora"/>
    <s v="Otro"/>
    <s v="Pruebas de control y adicionales "/>
    <s v="Biodiversa Chimbarongo"/>
    <s v="[Biodiversa Chimbarongo] Biodiversa Chimbarongo"/>
    <x v="3"/>
    <d v="2025-11-20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n v="1"/>
    <n v="1"/>
    <n v="1"/>
  </r>
  <r>
    <n v="281"/>
    <s v="Juan José López"/>
    <s v="WE2025-01166"/>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n v="0"/>
    <n v="0"/>
    <n v="0"/>
  </r>
  <r>
    <n v="281"/>
    <s v="Juan José López"/>
    <s v="WE2025-01166"/>
    <s v="Instalación, conexión y configuración. "/>
    <s v="Global Tórtolas"/>
    <s v="[Global Tórtolas] Pozo PMO 08 Nodo Nuevo"/>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r>
  <r>
    <n v="281"/>
    <s v="Juan José López"/>
    <s v="WE2025-01166"/>
    <s v="Instalación, conexión y configuración. "/>
    <s v="Global Tórtolas"/>
    <s v="[Global Tórtolas] Pozo PMO-15C"/>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r>
  <r>
    <n v="281"/>
    <s v="Juan José López"/>
    <s v="WE2025-01166"/>
    <s v="Instalación, conexión y configuración. "/>
    <s v="Global Tórtolas"/>
    <s v="[Global Tórtolas] Pozo PBM4"/>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r>
  <r>
    <n v="281"/>
    <s v="Juan José López"/>
    <s v="WE2025-01166"/>
    <s v="Instalación, conexión y configuración. "/>
    <s v="Global Tórtolas"/>
    <s v="[Global Tórtolas] Pozo PP-29"/>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r>
  <r>
    <n v="291"/>
    <s v="Juan José López"/>
    <s v="WE2025-01166"/>
    <s v="Conexión y configuración "/>
    <s v="Global Tórtolas"/>
    <s v="[Global Tórtolas] Pozo P6"/>
    <x v="5"/>
    <d v="2025-11-21T00:00:00"/>
    <s v="Patricio cortes "/>
    <s v="Se hace cambio de flowcell artesanal por flowcell original de la marca quedando instalado e integrado, pendiente de cambio de sonda HL4 por problemas de medición de la sonda existente "/>
    <n v="5"/>
    <n v="0"/>
    <n v="0"/>
    <n v="0"/>
  </r>
  <r>
    <n v="291"/>
    <s v="Juan José López"/>
    <s v="WE2025-01166"/>
    <s v="Conexión y configuración "/>
    <s v="Global Tórtolas"/>
    <s v="[Global Tórtolas] Pozo PMO-15C"/>
    <x v="3"/>
    <d v="2025-11-21T00:00:00"/>
    <s v="Patricio cortes "/>
    <s v="Queda pendiente integrar la variable de nivel "/>
    <n v="5"/>
    <n v="0"/>
    <n v="0"/>
    <n v="0"/>
  </r>
  <r>
    <n v="291"/>
    <s v="Juan José López"/>
    <s v="WE2025-01166"/>
    <s v="Conexión y configuración "/>
    <s v="Global Tórtolas"/>
    <s v="[Global Tórtolas] Pozo PP-31C"/>
    <x v="3"/>
    <d v="2025-11-21T00:00:00"/>
    <s v="Patricio cortes "/>
    <s v="Queda pendiente la integración ya que el regulador de carga presentaba inconsistencia en su funcionamiento "/>
    <n v="5"/>
    <n v="0"/>
    <n v="0"/>
    <n v="0"/>
  </r>
  <r>
    <n v="286"/>
    <s v="Ángel Zamora"/>
    <s v="Otro"/>
    <s v="Integración de variables,  validación y adicionales"/>
    <s v="Biodiversa Chimbarongo"/>
    <s v="[Biodiversa Chimbarongo] Biodiversa Chimbarongo"/>
    <x v="3"/>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n v="1"/>
    <n v="1"/>
    <n v="1"/>
  </r>
  <r>
    <n v="284"/>
    <s v="Felipe Riquelme"/>
    <s v="Otro"/>
    <s v="Instalación de monitor, cable y configuración de sala de control"/>
    <s v="Lipigas Sala de Control"/>
    <s v="Sala de control"/>
    <x v="6"/>
    <d v="2025-11-21T00:00:00"/>
    <s v="Hernán Rojas"/>
    <s v="Se instala pantalla y se configura el monitos, queda pendiente la instalación del último monitor "/>
    <n v="5"/>
    <n v="1"/>
    <n v="1"/>
    <n v="1"/>
  </r>
  <r>
    <n v="289"/>
    <s v="Camilo Sandoval"/>
    <s v="WE2025-01166"/>
    <s v="Instalacion sonda HL4"/>
    <s v="Global Tórtolas"/>
    <s v="[Global Tórtolas] Pozo BN3"/>
    <x v="0"/>
    <d v="2025-11-24T00:00:00"/>
    <s v="Patricio Cortés "/>
    <s v="Se realizó toma de datos manual de nivel dinámico del recinto con pozometro."/>
    <n v="5"/>
    <n v="1"/>
    <n v="1"/>
    <n v="0"/>
  </r>
  <r>
    <n v="289"/>
    <s v="Camilo Sandoval"/>
    <s v="WE2025-01166"/>
    <s v="Instalacion sonda HL4"/>
    <s v="Global Tórtolas"/>
    <s v="[Global Tórtolas] Pozo Dren ME Nodo"/>
    <x v="3"/>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n v="1"/>
    <n v="1"/>
    <n v="0"/>
  </r>
  <r>
    <n v="288"/>
    <s v="Leonardo Gonzalez"/>
    <s v="Otro"/>
    <s v="Revisión sensores de nivel "/>
    <s v="Gestión Hídrica El Soldado"/>
    <s v="[Gestión Hídrica El Soldado] Pozo Los Litres N° 01 (PLL-01) Nodo A12"/>
    <x v="0"/>
    <d v="2025-11-24T00:00:00"/>
    <s v="Gestión hidrica el soldado (Nicolas Valenzuela)"/>
    <s v="Se realizo medición del largo sensor de nivel."/>
    <n v="5"/>
    <n v="1"/>
    <n v="1"/>
    <n v="0"/>
  </r>
  <r>
    <n v="288"/>
    <s v="Leonardo Gonzalez"/>
    <s v="Otro"/>
    <s v="Revisión sensores de nivel "/>
    <s v="Gestión Hídrica El Soldado"/>
    <s v="[Gestión Hídrica El Soldado] Pozo Los Litres N° 02 (PLL-02) Nodo A13"/>
    <x v="0"/>
    <d v="2025-11-24T00:00:00"/>
    <s v="Gestión hidrica el soldado (Nicolas Valenzuela)"/>
    <s v="Se realizo medición del largo sensor. "/>
    <n v="5"/>
    <n v="1"/>
    <n v="1"/>
    <n v="0"/>
  </r>
  <r>
    <n v="288"/>
    <s v="Leonardo Gonzalez"/>
    <s v="Otro"/>
    <s v="Revisión sensores de nivel "/>
    <s v="Gestión Hídrica El Soldado"/>
    <s v="[Gestión Hídrica El Soldado] Pozo Los Litres N° 03 (PLL-03) Nodo 168"/>
    <x v="0"/>
    <d v="2025-11-24T00:00:00"/>
    <s v="Gestión hidrica el soldado (Nicolas Valenzuela)"/>
    <s v="Se realiza medición del largo de sensor "/>
    <n v="5"/>
    <n v="1"/>
    <n v="1"/>
    <n v="0"/>
  </r>
  <r>
    <n v="288"/>
    <s v="Leonardo Gonzalez"/>
    <s v="Otro"/>
    <s v="Revisión sensores de nivel "/>
    <s v="Gestión Hídrica El Soldado"/>
    <s v="[Gestión Hídrica El Soldado] Pozo Los Litres N° 04 (PLL-04) Nodo 169"/>
    <x v="0"/>
    <d v="2025-11-24T00:00:00"/>
    <s v="Gestión hidrica el soldado (Nicolas Valenzuela)"/>
    <s v="Se realiza medición del largo sensor."/>
    <n v="5"/>
    <n v="1"/>
    <n v="1"/>
    <n v="0"/>
  </r>
  <r>
    <n v="288"/>
    <s v="Leonardo Gonzalez"/>
    <s v="Otro"/>
    <s v="Revisión sensores de nivel "/>
    <s v="Gestión Hídrica El Soldado"/>
    <s v="[Gestión Hídrica El Soldado] Pozo Los Litres N° 05 (PLL-05)"/>
    <x v="0"/>
    <d v="2025-11-24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n v="1"/>
    <n v="1"/>
    <n v="0"/>
  </r>
  <r>
    <n v="288"/>
    <s v="Leonardo Gonzalez"/>
    <s v="Otro"/>
    <s v="Revisión sensores de nivel "/>
    <s v="Gestión Hídrica El Soldado"/>
    <s v="[Gestión Hídrica El Soldado] Pozo Los Litres N° 06 (PLL-06) Nodo 154"/>
    <x v="0"/>
    <d v="2025-11-24T00:00:00"/>
    <s v="Gestión hidrica el soldado (Nicolas Valenzuela)"/>
    <s v="Se realizo medición del largo de sensor de nivel "/>
    <n v="5"/>
    <n v="1"/>
    <n v="1"/>
    <n v="0"/>
  </r>
  <r>
    <n v="287"/>
    <s v="Cristopher Iglesias "/>
    <s v="WE2023-0944"/>
    <s v="Trabajos mejoramiento telemetria "/>
    <s v="Los Bronces - Riecillos"/>
    <s v="[Los Bronces - Riecillos] R2700 Gateway"/>
    <x v="0"/>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n v="0"/>
    <n v="0"/>
    <n v="0"/>
  </r>
  <r>
    <n v="310"/>
    <s v="Emir Navarro Crocci"/>
    <s v="Otro"/>
    <s v="Instalación de Gateway Dragino"/>
    <s v="SSR Comité Manzanar"/>
    <s v="[SSR Comité Manzanar] Recinto Planta Principal"/>
    <x v="0"/>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n v="1"/>
    <n v="1"/>
    <n v="1"/>
  </r>
  <r>
    <n v="310"/>
    <s v="Emir Navarro Crocci"/>
    <s v="Otro"/>
    <s v="Instalación de Gateway Dragino"/>
    <s v="SSR Comité Manzanar"/>
    <s v="[SSR Comité Manzanar] Lora Estanque Manzanar"/>
    <x v="0"/>
    <d v="2025-11-25T00:00:00"/>
    <s v="Benjamin Castillo"/>
    <s v="Se realiza alineación de antenas "/>
    <n v="5"/>
    <n v="1"/>
    <n v="1"/>
    <n v="1"/>
  </r>
  <r>
    <n v="293"/>
    <s v="Juan José López"/>
    <s v="WE2025-01166"/>
    <s v="Instalación, conexión, instalación de telemetría "/>
    <s v="Global Tórtolas"/>
    <s v="[Global Tórtolas] Pozo P3G"/>
    <x v="3"/>
    <d v="2025-11-25T00:00:00"/>
    <s v="Patricio Cortes"/>
    <s v="Se genera el cambio del cambie de la sonda multiparametrica, debido a que la sonda existente tenía problemas para poder generar la comunicación entre la sonda multiparametrica hacia el conector sdi-12."/>
    <n v="5"/>
    <n v="0"/>
    <n v="0"/>
    <n v="0"/>
  </r>
  <r>
    <n v="293"/>
    <s v="Juan José López"/>
    <s v="WE2025-01166"/>
    <s v="Instalación, conexión, instalación de telemetría "/>
    <s v="Global Tórtolas"/>
    <s v="[Global Tórtolas] Pozo Dren MP Nodo"/>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Dren MP Nodo"/>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P6"/>
    <x v="3"/>
    <d v="2025-11-25T00:00:00"/>
    <s v="Patricio Cortes"/>
    <s v="Se genera el cambio de la sonda multiparametrica debido a que la sonda existente se encontraba con problemas de medición de la variable de conductividad."/>
    <n v="5"/>
    <n v="0"/>
    <n v="0"/>
    <n v="0"/>
  </r>
  <r>
    <n v="293"/>
    <s v="Juan José López"/>
    <s v="WE2025-01166"/>
    <s v="Instalación, conexión, instalación de telemetría "/>
    <s v="Global Tórtolas"/>
    <s v="[Global Tórtolas] Pozo Dren MO Gateway"/>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3"/>
    <s v="Juan José López"/>
    <s v="WE2025-01166"/>
    <s v="Instalación, conexión, instalación de telemetría "/>
    <s v="Global Tórtolas"/>
    <s v="[Global Tórtolas] Pozo Dren MO Gateway"/>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r>
  <r>
    <n v="292"/>
    <s v="Leonardo Gonzalez"/>
    <s v="WE2023-1032"/>
    <s v="Revisión sensores "/>
    <s v="Gestión Hídrica El Soldado"/>
    <s v="[Gestión Hídrica El Soldado] Sector -300 Gateway"/>
    <x v="0"/>
    <d v="2025-11-25T00:00:00"/>
    <s v="Gestión hidrica el soldado (Nicolas Valenzuela)"/>
    <s v="Por solicitud, se realizo inspección de rebalse caudal 100% hacia estero._x000a_Se realizo inspección de válvulas qué estén 100% cortadas desde piscina ug hacia piscina 3800 y piscina 4.000."/>
    <n v="5"/>
    <n v="1"/>
    <n v="1"/>
    <n v="0"/>
  </r>
  <r>
    <n v="292"/>
    <s v="Leonardo Gonzalez"/>
    <s v="WE2023-1032"/>
    <s v="Revisión sensores "/>
    <s v="Gestión Hídrica El Soldado"/>
    <s v="[Gestión Hídrica El Soldado] Lora Piscina 3800"/>
    <x v="0"/>
    <d v="2025-11-25T00:00:00"/>
    <s v="Gestión hidrica el soldado (Nicolas Valenzuela)"/>
    <s v="Por solicitud se revisa el caudal hacia la piscina 3800 desde veta blanca y que la válvula esté al 100% el ingreso a la piscina "/>
    <n v="5"/>
    <n v="1"/>
    <n v="1"/>
    <n v="0"/>
  </r>
  <r>
    <n v="292"/>
    <s v="Leonardo Gonzalez"/>
    <s v="WE2023-1032"/>
    <s v="Revisión sensores "/>
    <s v="Gestión hidrica el soldado "/>
    <s v="PEM 4_x000a_PEM 6_x000a_PEM 10_x000a_PEM 9_x000a_PEM 1 _x000a_PEM 2_x000a_PEM 3"/>
    <x v="0"/>
    <d v="2025-11-25T00:00:00"/>
    <s v="Gestión hidrica el soldado (Nicolas Valenzuela)"/>
    <s v="Se realizo la medición de los sensor de nivel de los pozos el Melon._x000a_En pozo PEM  03 nos encontramos con la sorpresa que bandalizaron el panel solar del recinto. "/>
    <n v="5"/>
    <n v="1"/>
    <n v="1"/>
    <n v="0"/>
  </r>
  <r>
    <n v="292"/>
    <s v="Leonardo Gonzalez"/>
    <s v="WE2023-1032"/>
    <s v="Revisión sensores "/>
    <s v="Gestión Hídrica El Soldado"/>
    <s v="[Gestión Hídrica El Soldado] Pozo N° 3A (P3A) Nodo B1"/>
    <x v="0"/>
    <d v="2025-11-25T00:00:00"/>
    <s v="Gestión hidrica el soldado (Nicolas Valenzuela)"/>
    <s v="Realizamos medición del sensor de nivel del pozo P3a y P3b"/>
    <n v="5"/>
    <n v="1"/>
    <n v="1"/>
    <n v="0"/>
  </r>
  <r>
    <n v="290"/>
    <s v="Cristopher Iglesias "/>
    <s v="WE2023-0944"/>
    <s v="Trabajos mejoramiento telemetría"/>
    <s v="Los Bronces - Riecillos"/>
    <s v="[Los Bronces - Riecillos] R2700 Gateway"/>
    <x v="0"/>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n v="1"/>
    <n v="1"/>
    <n v="0"/>
  </r>
  <r>
    <n v="290"/>
    <s v="Cristopher Iglesias "/>
    <s v="WE2023-0944"/>
    <s v="Trabajos mejoramiento telemetría"/>
    <s v="Los Bronces - Riecillos"/>
    <s v="[Los Bronces - Riecillos] R3050 Gateway"/>
    <x v="0"/>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n v="1"/>
    <n v="1"/>
    <n v="0"/>
  </r>
  <r>
    <n v="317"/>
    <s v="Matías Pomar"/>
    <s v="Otro"/>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n v="1"/>
    <n v="1"/>
    <n v="1"/>
  </r>
  <r>
    <n v="299"/>
    <s v="Elías Sanchez"/>
    <s v="WE2023-0944"/>
    <s v="Revisión de guardado de datos telemetria "/>
    <s v="Los Bronces - Riecillos"/>
    <s v="[Los Bronces - Riecillos] R2700 Caudalimetro B"/>
    <x v="0"/>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n v="0"/>
    <n v="0"/>
    <n v="0"/>
  </r>
  <r>
    <n v="299"/>
    <s v="Elías Sanchez"/>
    <s v="WE2023-0944"/>
    <s v="Revisión de guardado de datos telemetria "/>
    <s v="Los Bronces - Riecillos"/>
    <s v="[Los Bronces - Riecillos] R3050 Caudalimetro C"/>
    <x v="0"/>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n v="0"/>
    <n v="0"/>
    <n v="0"/>
  </r>
  <r>
    <n v="299"/>
    <s v="Elías Sanchez"/>
    <s v="WE2023-0944"/>
    <s v="Revisión de guardado de datos telemetria "/>
    <s v="Los Bronces - Riecillos"/>
    <s v="[Los Bronces - Riecillos] R3050 Gateway"/>
    <x v="0"/>
    <d v="2025-11-26T00:00:00"/>
    <s v="Paula Riquelme "/>
    <s v="Se realiza retiro de inversor para posterior evaluación en laboratorio We._x000a__x000a_Se realiza chequeo de loggeo de datos en caudalimetro E, funciona correctamente._x000a_"/>
    <n v="5"/>
    <n v="0"/>
    <n v="0"/>
    <n v="0"/>
  </r>
  <r>
    <n v="311"/>
    <s v="Emir Navarro Crocci"/>
    <s v="Otro"/>
    <s v="Revisión de señal recinto "/>
    <s v="APR Carmen San José"/>
    <s v="[APR Carmen San José] Pozo 5 y Estanques"/>
    <x v="0"/>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n v="1"/>
    <n v="1"/>
    <n v="1"/>
  </r>
  <r>
    <n v="309"/>
    <s v="Matías Pomar"/>
    <s v="Otro"/>
    <s v="Servicio problemas en funcionamiento de bombas"/>
    <s v="APR Parcelación El Melón RP1"/>
    <s v="[APR Parcelación El Melón RP1] Pozo 1 y 2 y Estanques Azul y Acumulación"/>
    <x v="0"/>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n v="1"/>
    <n v="1"/>
    <n v="0"/>
  </r>
  <r>
    <n v="302"/>
    <s v="Leonardo Gonzalez"/>
    <s v="WE2023-1032"/>
    <s v="Mantenimiento preventivo "/>
    <s v="Gestión Hídrica El Soldado"/>
    <s v="[Gestión Hídrica El Soldado] Zona Veta Blanca Nodo Piscina 4000"/>
    <x v="0"/>
    <d v="2025-11-27T00:00:00"/>
    <s v="Gestión hidrica el soldado (Nicolas Valenzuela)"/>
    <s v="Por orden del cliente se realiza toma de fotografías del estado de piscina 4000"/>
    <n v="5"/>
    <n v="1"/>
    <n v="1"/>
    <n v="0"/>
  </r>
  <r>
    <n v="302"/>
    <s v="Leonardo Gonzalez"/>
    <s v="WE2023-1032"/>
    <s v="Mantenimiento preventivo "/>
    <s v="Gestión Hídrica El Soldado"/>
    <s v="[Gestión Hídrica El Soldado] Pozo Inyección Barrera Hidráulica PI7 Nodo B7"/>
    <x v="0"/>
    <d v="2025-11-27T00:00:00"/>
    <s v="Gestión hidrica el soldado (Nicolas Valenzuela)"/>
    <s v="Se realizo aumento de caudal en pozo PI 17 Y además inspección de pozo PI 20 ya había rebalse del pozo"/>
    <n v="5"/>
    <n v="1"/>
    <n v="1"/>
    <n v="0"/>
  </r>
  <r>
    <n v="302"/>
    <s v="Leonardo Gonzalez"/>
    <s v="WE2023-1032"/>
    <s v="Mantenimiento preventivo "/>
    <s v="Gestión Hídrica El Soldado"/>
    <s v="[Gestión Hídrica El Soldado] PM-26 Nodo"/>
    <x v="0"/>
    <d v="2025-11-27T00:00:00"/>
    <s v="Gestión hidrica el soldado (Nicolas Valenzuela)"/>
    <s v="Se realizo mantenimiento preventivo, limpieza de panel reapriete de cables y limpieza de tableros"/>
    <n v="5"/>
    <n v="1"/>
    <n v="1"/>
    <n v="0"/>
  </r>
  <r>
    <n v="302"/>
    <s v="Leonardo Gonzalez"/>
    <s v="WE2023-1032"/>
    <s v="Mantenimiento preventivo "/>
    <s v="Gestión Hídrica El Soldado"/>
    <s v="[Gestión Hídrica El Soldado] PM-6 Nodo 158"/>
    <x v="0"/>
    <d v="2025-11-27T00:00:00"/>
    <s v="Gestión hidrica el soldado (Nicolas Valenzuela)"/>
    <s v="Se realizo mantenimiento preventivo, limpieza de panel reapriete de cables y limpieza de tableros"/>
    <n v="5"/>
    <n v="1"/>
    <n v="1"/>
    <n v="0"/>
  </r>
  <r>
    <n v="302"/>
    <s v="Leonardo Gonzalez"/>
    <s v="WE2023-1032"/>
    <s v="Mantenimiento preventivo "/>
    <s v="Gestión hidrica el soldado "/>
    <s v="P3a p3b y gateway ao1"/>
    <x v="0"/>
    <d v="2025-11-27T00:00:00"/>
    <s v="Gestión hidrica el soldado (Nicolas Valenzuela)"/>
    <s v="Se realizo mantenimiento preventivo, limpieza de panel reapriete de cables y limpieza de tableros"/>
    <n v="5"/>
    <n v="1"/>
    <n v="1"/>
    <n v="0"/>
  </r>
  <r>
    <n v="300"/>
    <s v="Elías Sanchez"/>
    <s v="WE2023-0944"/>
    <s v="Verificación de lecturas en transmisores de caudalimetros no invasivos. "/>
    <s v="Los Bronces - Riecillos"/>
    <s v="[Los Bronces - Riecillos] R2700 Caudalimetro B"/>
    <x v="0"/>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n v="0"/>
    <n v="0"/>
    <n v="0"/>
  </r>
  <r>
    <n v="300"/>
    <s v="Elías Sanchez"/>
    <s v="WE2023-0944"/>
    <s v="Verificación de lecturas en transmisores de caudalimetros no invasivos. "/>
    <s v="Los Bronces - Riecillos"/>
    <s v="[Los Bronces - Riecillos] R3050 Gateway"/>
    <x v="0"/>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n v="0"/>
    <n v="0"/>
    <n v="0"/>
  </r>
  <r>
    <n v="305"/>
    <s v="Leonardo Gonzalez"/>
    <s v="WE2023-1032"/>
    <s v="Mantenimiento preventivo "/>
    <s v="Gestión hidrica el soldado "/>
    <s v="PI 17_x000a_PI 18_x000a_PI 19_x000a_PI 20"/>
    <x v="0"/>
    <d v="2025-11-28T00:00:00"/>
    <s v="Gestión hidrica el soldado (Nicolas Valenzuela)"/>
    <s v="Se realizo inspección visual y mantenimiento de cada punto. Mantenimiento tablero planta solar y tablero de telemetria PI 20_x000a_"/>
    <n v="5"/>
    <n v="1"/>
    <n v="1"/>
    <n v="0"/>
  </r>
  <r>
    <n v="304"/>
    <s v="Camilo Sandoval"/>
    <s v="WE2025-01166"/>
    <s v="Instalación de sonda multiparametrica e inventario de equipos nuevos"/>
    <s v="Global Tórtolas"/>
    <s v="[Global Tórtolas] Pozo PME-09C"/>
    <x v="3"/>
    <d v="2025-11-28T00:00:00"/>
    <s v="Patricio Cortés "/>
    <s v="Tambien se realizó inventario en bodega AALT, así quedando documentado la cantidad de equipos nuevos con su correspondiente numero serial."/>
    <n v="5"/>
    <n v="1"/>
    <n v="1"/>
    <n v="0"/>
  </r>
  <r>
    <n v="308"/>
    <s v="Leonardo Gonzalez"/>
    <s v="WE2023-1032"/>
    <s v="Mantenimiento preventivo "/>
    <s v="Gestión Hídrica El Soldado"/>
    <s v="[Gestión Hídrica El Soldado] Pozo El Melón N° 02 (PEM-02) Gateway A"/>
    <x v="0"/>
    <d v="2025-12-01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n v="1"/>
    <n v="1"/>
    <n v="0"/>
  </r>
  <r>
    <n v="306"/>
    <s v="Elías Sanchez"/>
    <s v="WE2025-01166"/>
    <s v="Implementación de telemetria "/>
    <s v="Global Tórtolas"/>
    <s v="[Global Tórtolas] Pozo PP-31C"/>
    <x v="0"/>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n v="0"/>
    <n v="0"/>
    <n v="0"/>
  </r>
  <r>
    <n v="306"/>
    <s v="Elías Sanchez"/>
    <s v="WE2025-01166"/>
    <s v="Implementación de telemetria "/>
    <s v="Oficina We"/>
    <s v="Container"/>
    <x v="0"/>
    <d v="2025-12-01T00:00:00"/>
    <s v="Patricio Cortes"/>
    <s v="Se almacenan sondas Multiparamétricas dentro de container (7), además de la cantidad de baterías y cajas estanco dejadas en bodega de oficina. "/>
    <n v="5"/>
    <n v="0"/>
    <n v="0"/>
    <n v="0"/>
  </r>
  <r>
    <n v="314"/>
    <s v="Elías Sanchez"/>
    <s v="WE2025-01166"/>
    <s v="Inspección, validación SMA"/>
    <s v="Global Tórtolas"/>
    <s v="[Global Tórtolas] Pozo Dren ME Nodo"/>
    <x v="5"/>
    <d v="2025-12-02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n v="0"/>
    <n v="0"/>
    <n v="0"/>
  </r>
  <r>
    <n v="314"/>
    <s v="Elías Sanchez"/>
    <s v="WE2025-01166"/>
    <s v="Inspección, validación SMA"/>
    <s v="Global Tórtolas"/>
    <s v="[Global Tórtolas] Pozo PP-31C"/>
    <x v="0"/>
    <d v="2025-12-02T00:00:00"/>
    <s v="Patricio Cortés "/>
    <s v="Se registra el valor de profundidad del pozo hasta el espejo de agua siendo de 73 metros_x000a_Los valores obtenidos se informan a área de automatización para reflejarlo en plataforma"/>
    <n v="5"/>
    <n v="0"/>
    <n v="0"/>
    <n v="0"/>
  </r>
  <r>
    <n v="313"/>
    <s v="Leonardo Gonzalez"/>
    <s v="WE2023-1032"/>
    <s v="Mantenimiento preventivo "/>
    <s v="Gestión hidrica el soldado "/>
    <s v="Bodega recursos hidricos "/>
    <x v="0"/>
    <d v="2025-12-02T00:00:00"/>
    <s v="Gestión hidrica el soldado (Nicolas Valenzuela)"/>
    <s v="Se realizo check list de herramientas. _x000a_Se realiza marca de herramientas con 3 cintas correspondientes al mes de diciembre."/>
    <n v="5"/>
    <n v="1"/>
    <n v="1"/>
    <n v="0"/>
  </r>
  <r>
    <n v="313"/>
    <s v="Leonardo Gonzalez"/>
    <s v="WE2023-1032"/>
    <s v="Mantenimiento preventivo "/>
    <s v="Gestión Hídrica El Soldado"/>
    <s v="[Gestión Hídrica El Soldado] PM-3 Nodo B19"/>
    <x v="0"/>
    <d v="2025-12-02T00:00:00"/>
    <s v="Gestión hidrica el soldado (Nicolas Valenzuela)"/>
    <s v="Se realizo mantenimiento preventivo. Limpieza de panel solar._x000a_Se decide no seguir con la ejecución por la presencia de avispas."/>
    <n v="5"/>
    <n v="1"/>
    <n v="1"/>
    <n v="0"/>
  </r>
  <r>
    <n v="313"/>
    <s v="Leonardo Gonzalez"/>
    <s v="WE2023-1032"/>
    <s v="Mantenimiento preventivo "/>
    <s v="Gestión Hídrica El Soldado"/>
    <s v="[Gestión Hídrica El Soldado] PM-4 Nodo B20"/>
    <x v="0"/>
    <d v="2025-12-02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n v="1"/>
    <n v="1"/>
    <n v="0"/>
  </r>
  <r>
    <n v="313"/>
    <s v="Leonardo Gonzalez"/>
    <s v="WE2023-1032"/>
    <s v="Mantenimiento preventivo "/>
    <s v="Gestión Hídrica El Soldado"/>
    <s v="[Gestión Hídrica El Soldado] Pozo Inyección Barrera Hidráulica PI1 Nodo B22"/>
    <x v="0"/>
    <d v="2025-12-02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n v="1"/>
    <n v="1"/>
    <n v="0"/>
  </r>
  <r>
    <n v="312"/>
    <s v="Cristopher Iglesias "/>
    <s v="WE2023-0944"/>
    <s v="Mantenimiento correctivo"/>
    <s v="Global Tórtolas"/>
    <s v="[Global Tórtolas] Pozo P2G"/>
    <x v="0"/>
    <d v="2025-12-02T00:00:00"/>
    <s v="Paula Riquelme"/>
    <s v="En base al cambio de flujometro realizado por empresa Quinta el día 28/11/25, se efectua el reconexionado de la lectura modbus en el equipo y su configuración para la recuperación de la lectura en telemetria. "/>
    <n v="5"/>
    <n v="0"/>
    <n v="0"/>
    <n v="0"/>
  </r>
  <r>
    <n v="312"/>
    <s v="Cristopher Iglesias "/>
    <s v="WE2023-0944"/>
    <s v="Mantenimiento correctivo"/>
    <s v="Global Tórtolas"/>
    <s v="[Global Tórtolas] Pozo P7"/>
    <x v="0"/>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n v="0"/>
    <n v="0"/>
    <n v="0"/>
  </r>
  <r>
    <n v="312"/>
    <s v="Cristopher Iglesias "/>
    <s v="WE2023-0944"/>
    <s v="Mantenimiento correctivo"/>
    <s v="Global Tórtolas"/>
    <s v="[Global Tórtolas] Pozo P3GB"/>
    <x v="0"/>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n v="0"/>
    <n v="0"/>
    <n v="0"/>
  </r>
  <r>
    <n v="312"/>
    <s v="Cristopher Iglesias "/>
    <s v="WE2023-0944"/>
    <s v="Mantenimiento correctivo"/>
    <s v="Global Tórtolas"/>
    <s v="[Global Tórtolas] Pozo PBM5"/>
    <x v="0"/>
    <d v="2025-12-02T00:00:00"/>
    <s v="Paula Riquelme"/>
    <s v="Se regulariza inconsistencia de pozo dado que caudal tiene intervalos de valor 0 mientras la bomba funciona, la lectura modbus presenta un error en programación el cual es regularizado y se valida el caudal en terreno."/>
    <n v="5"/>
    <n v="0"/>
    <n v="0"/>
    <n v="0"/>
  </r>
  <r>
    <n v="315"/>
    <s v="Elías Sanchez"/>
    <s v="WE2023-1032"/>
    <s v="Levantamiento - Cambio de tarjeta SIM. "/>
    <s v="Gestión Hídrica El Soldado"/>
    <s v="[Gestión Hídrica El Soldado] Estero El Sauce"/>
    <x v="5"/>
    <d v="2025-12-03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n v="1"/>
    <n v="1"/>
    <n v="0"/>
  </r>
  <r>
    <n v="315"/>
    <s v="Elías Sanchez"/>
    <s v="WE2023-1032"/>
    <s v="Levantamiento - Cambio de tarjeta SIM. "/>
    <s v="Gestión Hídrica El Soldado"/>
    <s v="[Gestión Hídrica El Soldado] Caudalimetros HDS Sector Planta"/>
    <x v="0"/>
    <d v="2025-12-03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n v="1"/>
    <n v="1"/>
    <n v="0"/>
  </r>
  <r>
    <n v="315"/>
    <s v="Elías Sanchez"/>
    <s v="WE2023-1032"/>
    <s v="Levantamiento - Cambio de tarjeta SIM. "/>
    <s v="Gestión Hídrica El Soldado"/>
    <s v="[Gestión Hídrica El Soldado] Lora Dren los Caleos"/>
    <x v="0"/>
    <d v="2025-12-03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n v="1"/>
    <n v="1"/>
    <n v="0"/>
  </r>
  <r>
    <n v="318"/>
    <s v="Elías Sanchez"/>
    <s v="WE2023-1032"/>
    <s v="Mantenimiento preventivo "/>
    <s v="Gestión Hídrica El Soldado"/>
    <s v="[Gestión Hídrica El Soldado] Pozo El Melón N° 04 (PEM-04) Nodo A11"/>
    <x v="0"/>
    <d v="2025-12-04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n v="1"/>
    <n v="0"/>
    <n v="0"/>
  </r>
  <r>
    <n v="318"/>
    <s v="Elías Sanchez"/>
    <s v="WE2023-1032"/>
    <s v="Mantenimiento preventivo "/>
    <s v="Gestión Hídrica El Soldado"/>
    <s v="[Gestión Hídrica El Soldado] Pozo El Melón N° 10 (PEM-10) Nodo A16"/>
    <x v="0"/>
    <d v="2025-12-04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n v="1"/>
    <n v="0"/>
    <n v="0"/>
  </r>
  <r>
    <n v="327"/>
    <s v="Elías Sanchez"/>
    <s v="WE2023-1032"/>
    <s v="Actualización de datos en softwares"/>
    <s v="Gestión Hídrica El Soldado"/>
    <s v="[Gestión Hídrica El Soldado] Pozo El Melón N° 06 (PEM-06) Nodo"/>
    <x v="0"/>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n v="1"/>
    <n v="0"/>
    <n v="0"/>
  </r>
  <r>
    <n v="327"/>
    <s v="Elías Sanchez"/>
    <s v="WE2023-1032"/>
    <s v="Actualización de datos en softwares"/>
    <s v="AAES"/>
    <s v="PI17 AL PI20"/>
    <x v="0"/>
    <d v="2025-12-05T00:00:00"/>
    <s v="Superintendencia de recursos hidricos "/>
    <s v="Se realiza inspección general de los puntos PI17, 18, 19 y 20._x000a_Se encuentra fuga en el punto PI20 por el lado de radier del pozo. "/>
    <n v="5"/>
    <n v="1"/>
    <n v="0"/>
    <n v="0"/>
  </r>
  <r>
    <n v="322"/>
    <s v="Juan José López"/>
    <s v="WE2025-01166"/>
    <s v="Validación de variables "/>
    <s v="Calidad de aguas "/>
    <s v="Recinto PME-09, P6 Dren Muro Este"/>
    <x v="5"/>
    <d v="2025-12-09T00:00:00"/>
    <s v="Patricio Cortes "/>
    <s v="Se realiza revicion de variables en los recintos "/>
    <n v="5"/>
    <n v="0"/>
    <n v="0"/>
    <n v="0"/>
  </r>
  <r>
    <n v="321"/>
    <s v="Diego Marchant"/>
    <s v="WE2023-1032"/>
    <s v="Inspección de contingencias."/>
    <s v="APR Los Caleos"/>
    <s v="[APR Los Caleos] Pozos y Bombas Elevadoras"/>
    <x v="0"/>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n v="1"/>
    <n v="1"/>
    <n v="0"/>
  </r>
  <r>
    <n v="321"/>
    <s v="Diego Marchant"/>
    <s v="WE2023-1032"/>
    <s v="Inspección de contingencias."/>
    <s v="Gestión Hídrica El Soldado"/>
    <s v="[Gestión Hídrica El Soldado] Pozo El Melón N° 02 (PEM-02) Gateway A"/>
    <x v="0"/>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n v="1"/>
    <n v="1"/>
    <n v="0"/>
  </r>
  <r>
    <n v="320"/>
    <s v="Elías Sanchez"/>
    <s v="WE2023-0944"/>
    <s v="Transporte de materiales "/>
    <s v="Los Bronces - Riecillos"/>
    <s v="Patio de tuberias"/>
    <x v="0"/>
    <d v="2025-12-09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n v="0"/>
    <n v="1"/>
    <n v="0"/>
  </r>
  <r>
    <n v="326"/>
    <s v="Diego Marchant"/>
    <s v="WE2023-1032"/>
    <s v="Evaluación de trabajos y mantenimiento."/>
    <s v="Gestión Hídrica El Soldado"/>
    <s v="[Gestión Hídrica El Soldado] Pozo El Melón N° 02 (PEM-02) Gateway A"/>
    <x v="0"/>
    <d v="2025-12-10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6"/>
    <s v="Diego Marchant"/>
    <s v="WE2023-1032"/>
    <s v="Evaluación de trabajos y mantenimiento."/>
    <s v="Gestión Hídrica El Soldado"/>
    <s v="[Gestión Hídrica El Soldado] Pozo El Melón N° 03 (PEM-03)"/>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r>
  <r>
    <n v="325"/>
    <s v="Elías Sanchez"/>
    <s v="WE2023-0944"/>
    <s v="Traslado de materiales "/>
    <s v="Los Bronces - Riecillos"/>
    <s v="[Los Bronces - Riecillos] R2700 Gateway"/>
    <x v="0"/>
    <d v="2025-12-10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n v="1"/>
    <n v="1"/>
    <n v="0"/>
  </r>
  <r>
    <n v="324"/>
    <s v="Ángel Zamora"/>
    <s v="Otro"/>
    <s v="Mantenimiento "/>
    <s v="Global Tórtolas"/>
    <s v="[Global Tórtolas] Pozo BN3"/>
    <x v="1"/>
    <d v="2025-12-10T00:00:00"/>
    <s v="Paula Riquelme "/>
    <s v="Fimar de pt ok._x000a_Traspaso de área por dueño de zona stp ok._x000a_Documentos pt, det y aisalación y bloqueo ok y validados._x000a_Cambio de sensor ok._x000a_Validación de datos en plataforma y terreno ok._x000a_"/>
    <n v="5"/>
    <n v="0"/>
    <n v="0"/>
    <n v="0"/>
  </r>
  <r>
    <n v="330"/>
    <s v="Cristopher Iglesias "/>
    <s v="WE2023-0944"/>
    <s v="Avanze instalación solar 2700"/>
    <s v="Los Bronces - Riecillos"/>
    <s v="[Los Bronces - Riecillos] R2700 Gateway"/>
    <x v="0"/>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n v="1"/>
    <n v="1"/>
    <n v="1"/>
  </r>
  <r>
    <n v="329"/>
    <s v="Ángel Zamora"/>
    <s v="Otro"/>
    <s v="Mantenimiento Preventivo "/>
    <s v="Gestión Hídrica El Soldado"/>
    <s v="[Gestión Hídrica El Soldado] Pozo El Melón N° 01 (PEM-01) Nodo"/>
    <x v="2"/>
    <d v="2025-12-11T00:00:00"/>
    <s v="Nicolas Valenzuela "/>
    <s v="Se realiza ronda de inspección en barrera hidráulica pozos de inyección. Ronda ok._x000a_Mantenimiento a PEM, se reliaza limpieza de equipos, panel solar y validación de datos de terreno con recepcinados por Uc300. "/>
    <n v="5"/>
    <n v="1"/>
    <n v="1"/>
    <n v="0"/>
  </r>
  <r>
    <n v="334"/>
    <s v="Elías Sanchez"/>
    <s v="WE2023-1032"/>
    <s v="Traslado gateway"/>
    <s v="Gestión Hídrica El Soldado"/>
    <s v="[Gestión Hídrica El Soldado] Pozos El Soldado Caseta el Melón"/>
    <x v="0"/>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n v="1"/>
    <n v="0"/>
    <n v="0"/>
  </r>
  <r>
    <n v="338"/>
    <s v="Elías Sanchez"/>
    <s v="WE2023-1032"/>
    <s v="Mantenimiento "/>
    <s v="Gestión Hídrica El Soldado"/>
    <s v="[Gestión Hídrica El Soldado] Pozo El Melón N° 09 (PEM-09)"/>
    <x v="0"/>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n v="1"/>
    <n v="0"/>
    <n v="0"/>
  </r>
  <r>
    <n v="337"/>
    <s v="Ángel Zamora"/>
    <s v="Otro"/>
    <s v="Integración Red Lora"/>
    <s v="Global Tórtolas"/>
    <s v="[Global Tórtolas] Pozo BN8"/>
    <x v="3"/>
    <d v="2025-12-16T00:00:00"/>
    <s v="Paula Riquelme "/>
    <s v="Levantamiento de punto caido por falla pila PLC._x000a_Se ajusta voltaje de fuente de ups de 24v a 27,43._x000a_Integración de conversor Rs485 y equipo Lora + antena._x000a_Configuración de telemetria ok + validación de datos."/>
    <n v="5"/>
    <n v="1"/>
    <n v="1"/>
    <n v="1"/>
  </r>
  <r>
    <n v="336"/>
    <s v="Cristopher Iglesias "/>
    <s v="WE2023-0944"/>
    <s v="Instalación solucion solar R2700"/>
    <s v="Los Bronces - Riecillos"/>
    <s v="[Los Bronces - Riecillos] R2700 Gateway"/>
    <x v="0"/>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n v="1"/>
    <n v="1"/>
    <n v="1"/>
  </r>
  <r>
    <n v="340"/>
    <s v="Cristopher Iglesias "/>
    <s v="WE2023-0944"/>
    <s v="Instalación solución solar R2700"/>
    <s v="Los Bronces - Riecillos"/>
    <s v="[Los Bronces - Riecillos] R2700 Gateway"/>
    <x v="0"/>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n v="1"/>
    <n v="1"/>
    <n v="1"/>
  </r>
  <r>
    <n v="339"/>
    <s v="Elías Sanchez"/>
    <s v="WE2023-1032"/>
    <s v="Mantenimiento"/>
    <s v="Gestión Hídrica El Soldado"/>
    <s v="[Gestión Hídrica El Soldado] Pozo Los Litres N° 06 (PLL-06) Nodo 154"/>
    <x v="0"/>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n v="1"/>
    <n v="0"/>
    <n v="0"/>
  </r>
  <r>
    <n v="339"/>
    <s v="Elías Sanchez"/>
    <s v="WE2023-1032"/>
    <s v="Mantenimiento"/>
    <s v="Gestión Hídrica El Soldado"/>
    <s v="[Gestión Hídrica El Soldado] Aguas de Inyección (AO-2) Nodo A15"/>
    <x v="0"/>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n v="1"/>
    <n v="0"/>
    <n v="0"/>
  </r>
  <r>
    <n v="342"/>
    <s v="Elías Sanchez"/>
    <s v="WE2023-1032"/>
    <s v="Mantenimiento - soporte"/>
    <s v="Gestión Hídrica El Soldado"/>
    <s v="[Gestión Hídrica El Soldado] Pozos El Soldado Caseta el Melón"/>
    <x v="0"/>
    <d v="2025-12-18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n v="1"/>
    <n v="0"/>
    <n v="0"/>
  </r>
  <r>
    <n v="342"/>
    <s v="Elías Sanchez"/>
    <s v="WE2023-1032"/>
    <s v="Mantenimiento - soporte"/>
    <s v="Gestión Hídrica El Soldado"/>
    <s v="[Gestión Hídrica El Soldado] Pozo Los Litres N° 04 (PLL-04) Nodo 169"/>
    <x v="0"/>
    <d v="2025-12-18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n v="1"/>
    <n v="0"/>
    <n v="0"/>
  </r>
  <r>
    <n v="341"/>
    <s v="Cristopher Iglesias "/>
    <s v="WE2023-0944"/>
    <s v="Instalacion solucion solar R2700"/>
    <s v="Los Bronces - Riecillos"/>
    <s v="[Los Bronces - Riecillos] R2700 Gateway"/>
    <x v="0"/>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n v="1"/>
    <n v="1"/>
    <n v="1"/>
  </r>
  <r>
    <n v="347"/>
    <s v="Leonardo Gonzalez"/>
    <s v="WE2023-1032"/>
    <s v="Mantenimiento preventivo "/>
    <s v="Gestión Hídrica El Soldado"/>
    <s v="[Gestión Hídrica El Soldado] Pozo Los Litres N° 03 (PLL-03) Nodo 168"/>
    <x v="0"/>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n v="1"/>
    <n v="1"/>
    <n v="0"/>
  </r>
  <r>
    <n v="345"/>
    <s v="Elías Sanchez"/>
    <s v="WE2023-0944"/>
    <s v="Obtención de permisos de trabajo_x000a_Coordinación para bloqueo eléctrico "/>
    <s v="AALT DGA"/>
    <s v="BN12"/>
    <x v="5"/>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r>
  <r>
    <n v="345"/>
    <s v="Elías Sanchez"/>
    <s v="WE2023-0944"/>
    <s v="Obtención de permisos de trabajo_x000a_Coordinación para bloqueo eléctrico "/>
    <s v="AALT DGA"/>
    <s v="BN12"/>
    <x v="0"/>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r>
  <r>
    <n v="344"/>
    <s v="David  Loncopan"/>
    <s v="Otro"/>
    <s v="Garantía sala de control "/>
    <s v="Sala de control lipigas"/>
    <s v="Sala de control lipigas "/>
    <x v="6"/>
    <d v="2025-12-22T00:00:00"/>
    <s v="Lipigas "/>
    <s v="Se realiza cambio de pantalla en garantía. Se retira pantalla pendiente te de gestión "/>
    <n v="5"/>
    <n v="1"/>
    <n v="1"/>
    <n v="1"/>
  </r>
  <r>
    <n v="351"/>
    <s v="Leonardo Gonzalez"/>
    <s v="WE2023-1032"/>
    <s v="Mantenimiento preventivo "/>
    <s v="Gestión hidrica el soldado "/>
    <s v="Oficina "/>
    <x v="0"/>
    <d v="2025-12-23T00:00:00"/>
    <s v="Gestión hidrica el soldado (Nicolas Valenzuela)"/>
    <s v="Fuimos a retirar el tablero galileo y lo trasladamos hacia el soldado."/>
    <n v="5"/>
    <n v="1"/>
    <n v="1"/>
    <n v="0"/>
  </r>
  <r>
    <n v="351"/>
    <s v="Leonardo Gonzalez"/>
    <s v="WE2023-1032"/>
    <s v="Mantenimiento preventivo "/>
    <s v="Gestión Hídrica El Soldado"/>
    <s v="[Gestión Hídrica El Soldado] Pozo Los Litres N° 02 (PLL-02) Nodo A13"/>
    <x v="0"/>
    <d v="2025-12-23T00:00:00"/>
    <s v="Gestión hidrica el soldado (Nicolas Valenzuela)"/>
    <s v="Realizamos el mantenimiento preventivo, limpieza de tableros y  sensores._x000a_Se realizo reapriete de terminales, revisión de plataforma comparaciones con los datos de terreno "/>
    <n v="5"/>
    <n v="1"/>
    <n v="1"/>
    <n v="0"/>
  </r>
  <r>
    <n v="349"/>
    <s v="Cristopher Iglesias "/>
    <s v="WE2023-0944"/>
    <s v="Implentación telemetría BN12"/>
    <s v="BN12"/>
    <s v="Pozo BN12"/>
    <x v="0"/>
    <d v="2025-12-23T00:00:00"/>
    <s v="Paula Riquelme "/>
    <s v="Avance en conexionado de telemetria en pozo BN12, se incia con la gestión del bloqueo electrico con apoyo AA y se incia con los trabajos de conexionado._x000a_"/>
    <n v="5"/>
    <n v="0"/>
    <n v="0"/>
    <n v="0"/>
  </r>
  <r>
    <n v="348"/>
    <s v="David  Loncopan"/>
    <s v="Otro"/>
    <s v="Revisión e integracion de sensor de nivel de pozo 24 "/>
    <s v="ASP Pozos"/>
    <s v="[ASP Pozos] Pozo 24"/>
    <x v="0"/>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n v="1"/>
    <n v="1"/>
    <n v="1"/>
  </r>
  <r>
    <n v="356"/>
    <s v="Cristopher Iglesias "/>
    <s v="WE2023-0944"/>
    <s v="Implementacion BN12"/>
    <s v="Global Tórtolas"/>
    <s v="[Global Tórtolas] Pozo BN12"/>
    <x v="0"/>
    <d v="2025-12-24T00:00:00"/>
    <s v="Paula Riquelme "/>
    <s v="Se finaliza el conexionado telemetria del pozo BN12 dejando el punto debidamente alimentado. Junto con el apoyo electrico de AA se hace el desbloqueo del tablero y la entrega del área de trabajo._x000a_"/>
    <n v="5"/>
    <n v="1"/>
    <n v="1"/>
    <n v="1"/>
  </r>
  <r>
    <n v="353"/>
    <s v="Leonardo Gonzalez"/>
    <s v="WE2023-1032"/>
    <s v="Mantenimiento preventivo "/>
    <s v="Gestión Hídrica El Soldado"/>
    <s v="[Gestión Hídrica El Soldado] Pozo Los Litres N° 01 (PLL-01) Nodo A12"/>
    <x v="0"/>
    <d v="2025-12-24T00:00:00"/>
    <s v="Gestión hidrica el soldado (Nicolas Valenzuela)"/>
    <s v="Realizamos mantenimiento preventivo,  limpieza de tableros, reapriete de terminales._x000a_Revisión de plataforma y comparación con datos en terreno. "/>
    <n v="5"/>
    <n v="1"/>
    <n v="1"/>
    <n v="0"/>
  </r>
  <r>
    <n v="355"/>
    <s v="Leonardo Gonzalez"/>
    <s v="WE2023-1032"/>
    <s v="Mantenimiento preventivo "/>
    <s v="Gestión hidrica el soldado "/>
    <s v="Bodega de recursos hidricos "/>
    <x v="0"/>
    <d v="2025-12-26T00:00:00"/>
    <s v="Gestión hidrica el soldado (Nicolas Valenzuela)"/>
    <s v="Realizamos trabajos administrativos, además Realizamos pruebas de equipo galileo._x000a_También se realizo entrega de pozometro qué se quedó trabado a la empresa SGS en PLL 4."/>
    <n v="5"/>
    <n v="1"/>
    <n v="1"/>
    <n v="0"/>
  </r>
  <r>
    <n v="359"/>
    <s v="Ángel Zamora"/>
    <s v="Otro"/>
    <s v="Configuración modbus y contratación datos zona 1"/>
    <s v="Biodiversa Chimbarongo"/>
    <s v="[Biodiversa Chimbarongo] Biodiversa Chimbarongo"/>
    <x v="3"/>
    <d v="2025-12-29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n v="1"/>
    <n v="1"/>
    <n v="1"/>
  </r>
  <r>
    <n v="357"/>
    <s v="Leonardo Gonzalez"/>
    <s v="WE2023-1032"/>
    <s v="Mantenimiento preventivo "/>
    <s v="Gestión hidrica el soldado "/>
    <s v="Estacion reelevadora BH TRET "/>
    <x v="0"/>
    <d v="2025-12-29T00:00:00"/>
    <s v="Gestión hidrica el soldado (Nicolas Valenzuela)"/>
    <s v="Realizamos instalación de nuevo equipo Galileo _x000a_Se instala en pi ping de barrera hidráulica los transductores del caudalimetro no invasivo del equipo."/>
    <n v="5"/>
    <n v="1"/>
    <n v="1"/>
    <n v="0"/>
  </r>
  <r>
    <n v="357"/>
    <s v="Leonardo Gonzalez"/>
    <s v="WE2023-1032"/>
    <s v="Mantenimiento preventivo "/>
    <s v="Gestión Hídrica El Soldado"/>
    <s v="[Gestión Hídrica El Soldado] Pozo Los Litres N° 01 (PLL-01) Nodo A12"/>
    <x v="0"/>
    <d v="2025-12-29T00:00:00"/>
    <s v="Gestión hidrica el soldado (Nicolas Valenzuela)"/>
    <s v="Por aviso desde oficina procedemos ir al punto a realizar inspección ya que se encontraba caído._x000a_Realizamos reset y el punto volvió a funcionar correctamente."/>
    <n v="5"/>
    <n v="1"/>
    <n v="1"/>
    <n v="0"/>
  </r>
  <r>
    <n v="357"/>
    <s v="Leonardo Gonzalez"/>
    <s v="WE2023-1032"/>
    <s v="Mantenimiento preventivo "/>
    <s v="Gestión hidrica el soldado "/>
    <s v="Estacion reelevadora BH TRET "/>
    <x v="0"/>
    <d v="2025-12-29T00:00:00"/>
    <s v="Gestión hidrica el soldado (Nicolas Valenzuela)"/>
    <s v="Fuimos a comprar cadena para dejar el equipo Galileo con protección de ser bandalizado. Quedo encadenado y con candados."/>
    <n v="5"/>
    <n v="1"/>
    <n v="1"/>
    <n v="0"/>
  </r>
  <r>
    <n v="362"/>
    <s v="Ángel Zamora"/>
    <s v="Otro"/>
    <s v="Levantar punto Viñas de concha y toro "/>
    <s v="Biodiversa Chimbarongo"/>
    <s v="[Biodiversa Chimbarongo] Biodiversa Chimbarongo"/>
    <x v="3"/>
    <d v="2025-12-30T00:00:00"/>
    <s v="Biodiversa Chimbarongo "/>
    <s v="En Viñas concha y toro se monta placa modbus en mag6000 queda leyendo equipo, se valida dato de terreno con plataforma._x000a_E. Biodiversa planta se realizan pruebas de control y de lectura modbus de vdf ksb._x000a_"/>
    <n v="5"/>
    <n v="1"/>
    <n v="1"/>
    <n v="1"/>
  </r>
  <r>
    <n v="361"/>
    <s v="Leonardo Gonzalez"/>
    <s v="WE2023-1032"/>
    <s v="Mantenimiento preventivo "/>
    <s v="Gestión hidrica el soldado "/>
    <s v="Estacion reelevadora BH TRET "/>
    <x v="0"/>
    <d v="2025-12-30T00:00:00"/>
    <s v="Gestión hidrica el soldado (Nicolas Valenzuela)"/>
    <s v="Se realizo visita con don Nicolas Valenzuela de anglo American para revisión de carro galileo, se encuentra caudalimetro no invasivo descalibrado, se retira y se envía a calibración por garantía. "/>
    <n v="5"/>
    <n v="1"/>
    <n v="1"/>
    <n v="0"/>
  </r>
  <r>
    <n v="361"/>
    <s v="Leonardo Gonzalez"/>
    <s v="WE2023-1032"/>
    <s v="Mantenimiento preventivo "/>
    <s v="Calidad del Aire"/>
    <s v="[Calidad del Aire] Estación Veta Blanca"/>
    <x v="0"/>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n v="1"/>
    <n v="1"/>
    <n v="0"/>
  </r>
  <r>
    <n v="365"/>
    <s v="Leonardo Gonzalez"/>
    <s v="WE2023-1032"/>
    <s v="Mantenimiento preventivo "/>
    <s v="Gestión Hídrica El Soldado"/>
    <s v="[Gestión Hídrica El Soldado] PM-3 Nodo B19"/>
    <x v="0"/>
    <d v="2025-12-31T00:00:00"/>
    <s v="Gestión hidrica el soldado (Nicolas Valenzuela)"/>
    <s v="Por aviso de oficina procedemos ir al punto a recetear el tablero ya que se encontraba la sonda dando datos erróneo. "/>
    <n v="5"/>
    <n v="1"/>
    <n v="1"/>
    <n v="0"/>
  </r>
  <r>
    <n v="365"/>
    <s v="Leonardo Gonzalez"/>
    <s v="WE2023-1032"/>
    <s v="Mantenimiento preventivo "/>
    <s v="Gestión hidrica el soldado "/>
    <s v="Pozos monitoreo exteriores y ET 0F"/>
    <x v="0"/>
    <d v="2025-12-31T00:00:00"/>
    <s v="Gestión hidrica el soldado (Nicolas Valenzuela)"/>
    <s v="Se realizo inspección visual de cada punto para que no se encontrarán bandalizado o con algún problema. "/>
    <n v="5"/>
    <n v="1"/>
    <n v="1"/>
    <n v="0"/>
  </r>
  <r>
    <n v="365"/>
    <s v="Leonardo Gonzalez"/>
    <s v="WE2023-1032"/>
    <s v="Mantenimiento preventivo "/>
    <s v="Gestión Hídrica El Soldado"/>
    <s v="[Gestión Hídrica El Soldado] Pozo El Melón N° 10 (PEM-10) Nodo A16"/>
    <x v="0"/>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n v="1"/>
    <n v="1"/>
    <n v="0"/>
  </r>
  <r>
    <n v="368"/>
    <s v="Elías Sanchez"/>
    <s v="WE2023-1032"/>
    <s v="Visita terreno"/>
    <s v="AAES "/>
    <s v="Galileo estación reelevadora "/>
    <x v="0"/>
    <d v="2026-01-05T00:00:00"/>
    <s v="Superintendencia de recursos hidricos "/>
    <s v="Se acude al punto a verificar la condición y se anota lo que falta para la habilitación de éste._x000a_Batería acorde y peinado de cables"/>
    <n v="5"/>
    <n v="1"/>
    <n v="0"/>
    <n v="0"/>
  </r>
  <r>
    <n v="368"/>
    <s v="Elías Sanchez"/>
    <s v="WE2023-1032"/>
    <s v="Visita terreno"/>
    <s v="AAES"/>
    <s v="Gestiones"/>
    <x v="0"/>
    <d v="2026-01-05T00:00:00"/>
    <s v="Superintendencia de recursos hidricos "/>
    <s v="- Se coordina con Joanil Contreras para la entrega de perfil metálico para instalación de lector de velocidad RQ30._x000a__x000a_- Se hace entrega de documentación a Sr. Nicolas solicitado por Rodrigo López._x000a__x000a_- Se espero a don Diego Ramos para la verificación de instalación de los postes en los puntos PEM, pero no fue posible reunirnos, esta coordinado para hoy a las 10:00hrs apox._x000a__x000a_- Se rotula las herramientas acorde al color reactivo de este mes. "/>
    <n v="5"/>
    <n v="1"/>
    <n v="0"/>
    <n v="0"/>
  </r>
  <r>
    <n v="366"/>
    <s v="Ángel Zamora"/>
    <s v="Otro"/>
    <s v="Migración Red Lora "/>
    <s v="Global Tórtolas"/>
    <s v="[Global Tórtolas] Pozo BN7"/>
    <x v="3"/>
    <d v="2026-01-05T00:00:00"/>
    <s v="Paula Riquelme "/>
    <s v="Durante mañana tarde firmas de PT, se retiran equipos de Netaxion._x000a_Paula Riquelme nos hace entrega de antenas Lora._x000a_Tiempo restante para migrar BN7 a Lora Wan, se dejan con Paula 21 equipos de estos guardados en su oficina."/>
    <n v="5"/>
    <n v="1"/>
    <n v="1"/>
    <n v="1"/>
  </r>
  <r>
    <n v="382"/>
    <s v="Ángel Zamora"/>
    <s v="Otro"/>
    <s v="Integración Red LoraWan industrial "/>
    <s v="Global Tórtolas"/>
    <s v="[Global Tórtolas] Pozo BN6"/>
    <x v="3"/>
    <d v="2026-01-06T00:00:00"/>
    <s v="Paula Riquelme "/>
    <s v="Integración de equipos LoraWan, configuración y validación de datos en plataforma ok. Instalación de antena ok."/>
    <n v="5"/>
    <n v="1"/>
    <n v="1"/>
    <n v="1"/>
  </r>
  <r>
    <n v="372"/>
    <s v="Elías Sanchez"/>
    <s v="WE2023-1032"/>
    <s v="Mantenimiento preventivo "/>
    <s v="Gestión Hídrica El Soldado"/>
    <s v="[Gestión Hídrica El Soldado] Pozo El Melón N° 01 (PEM-01) Nodo"/>
    <x v="5"/>
    <d v="2026-01-06T00:00:00"/>
    <s v="Superintendencia de recursos hidricos "/>
    <s v="Visita a Pem 01 con SS_x000a_Se debe entregar a SS estructura de soporte para panel_x000a_ dimensiones : 1217*992*35mm_x000a__x000a_Se acude para verificar el posicionamiento del poste a instalar. "/>
    <n v="5"/>
    <n v="1"/>
    <n v="0"/>
    <n v="0"/>
  </r>
  <r>
    <n v="372"/>
    <s v="Elías Sanchez"/>
    <s v="WE2023-1032"/>
    <s v="Mantenimiento preventivo "/>
    <s v="Gestión Hídrica El Soldado"/>
    <s v="[Gestión Hídrica El Soldado] Pozo El Melón N° 03 (PEM-03)"/>
    <x v="5"/>
    <d v="2026-01-06T00:00:00"/>
    <s v="Superintendencia de recursos hidricos "/>
    <s v="Visita a Pem 03 con SS_x000a_Se debe entregar a SS estructura de soporte para panel y un panel solar, ya que fue vandalizado. _x000a_ dimensiones panel : 1217*992*35mm_x000a__x000a_Se acude para verificar el posicionamiento del poste a instalar. "/>
    <n v="5"/>
    <n v="1"/>
    <n v="0"/>
    <n v="0"/>
  </r>
  <r>
    <n v="372"/>
    <s v="Elías Sanchez"/>
    <s v="WE2023-1032"/>
    <s v="Mantenimiento preventivo "/>
    <s v="AAES"/>
    <s v="Válvula desde piscina UG hacia piscina 3800 "/>
    <x v="0"/>
    <d v="2026-01-06T00:00:00"/>
    <s v="Superintendencia de recursos hidricos "/>
    <s v="Se acude al punto para cerrar válvula por completo por solicitud del cliente"/>
    <n v="5"/>
    <n v="1"/>
    <n v="0"/>
    <n v="0"/>
  </r>
  <r>
    <n v="372"/>
    <s v="Elías Sanchez"/>
    <s v="WE2023-1032"/>
    <s v="Mantenimiento preventivo "/>
    <s v="Gestión Hídrica El Soldado"/>
    <s v="[Gestión Hídrica El Soldado] PM-28C Nodo"/>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r>
  <r>
    <n v="372"/>
    <s v="Elías Sanchez"/>
    <s v="WE2023-1032"/>
    <s v="Mantenimiento preventivo "/>
    <s v="Gestión Hídrica El Soldado"/>
    <s v="[Gestión Hídrica El Soldado] PM-28C Nodo"/>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6">
  <r>
    <n v="81"/>
    <x v="0"/>
    <x v="0"/>
    <s v="Mantenimiento preventivo a puntos de inyección "/>
    <x v="0"/>
    <x v="0"/>
    <x v="0"/>
    <d v="2025-08-25T00:00:00"/>
    <s v="Superintendencia de recursos hídricos "/>
    <s v="Se realiza visita para revisión del nivel, todo en orden nivel de piscina a 102,60%"/>
    <n v="3"/>
    <m/>
    <m/>
    <m/>
    <m/>
    <m/>
    <m/>
    <m/>
    <m/>
    <m/>
    <m/>
    <m/>
    <d v="2025-08-25T00:00:00"/>
    <m/>
  </r>
  <r>
    <n v="81"/>
    <x v="0"/>
    <x v="0"/>
    <s v="Mantenimiento preventivo a puntos de inyección "/>
    <x v="0"/>
    <x v="1"/>
    <x v="0"/>
    <d v="2025-08-25T00:00:00"/>
    <s v="Superintendencia de recursos hídricos "/>
    <s v=" Piscina UG-300 se regula la compuerta hacia el estero el gallo para mantener nivel de piscina, ya que, estaba con el nivel de agua alto se dejó en un 68% y bajando de a poco"/>
    <n v="3"/>
    <m/>
    <m/>
    <m/>
    <m/>
    <m/>
    <m/>
    <m/>
    <m/>
    <m/>
    <m/>
    <m/>
    <n v="0"/>
    <m/>
  </r>
  <r>
    <n v="81"/>
    <x v="0"/>
    <x v="0"/>
    <s v="Mantenimiento preventivo a puntos de inyección "/>
    <x v="0"/>
    <x v="2"/>
    <x v="1"/>
    <d v="2025-08-25T00:00:00"/>
    <s v="Superintendencia de recursos hídricos "/>
    <s v="Se destraba válvula Vortex y se restringe la válvula de paso para corregir la situación "/>
    <n v="3"/>
    <m/>
    <m/>
    <m/>
    <m/>
    <m/>
    <m/>
    <s v="Otro"/>
    <s v="Válvula vortex"/>
    <m/>
    <m/>
    <m/>
    <m/>
    <m/>
  </r>
  <r>
    <n v="81"/>
    <x v="0"/>
    <x v="0"/>
    <s v="Mantenimiento preventivo a puntos de inyección "/>
    <x v="0"/>
    <x v="3"/>
    <x v="1"/>
    <d v="2025-08-25T00:00:00"/>
    <s v="Superintendencia de recursos hídricos "/>
    <s v="Se destraba válvula Vortex y se restringe la válvula de paso para corregir la situación "/>
    <n v="3"/>
    <m/>
    <m/>
    <m/>
    <m/>
    <m/>
    <m/>
    <s v="Otro"/>
    <s v="Válvula Vortex "/>
    <m/>
    <m/>
    <m/>
    <m/>
    <m/>
  </r>
  <r>
    <n v="81"/>
    <x v="0"/>
    <x v="0"/>
    <s v="Mantenimiento preventivo a puntos de inyección "/>
    <x v="0"/>
    <x v="4"/>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m/>
    <m/>
    <m/>
    <s v="Caudalímetro Mecánico"/>
    <s v="..._x000a_"/>
    <m/>
    <m/>
    <m/>
    <m/>
    <m/>
  </r>
  <r>
    <n v="81"/>
    <x v="0"/>
    <x v="0"/>
    <s v="Mantenimiento preventivo a puntos de inyección "/>
    <x v="0"/>
    <x v="4"/>
    <x v="2"/>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m/>
    <m/>
    <m/>
    <m/>
    <m/>
    <m/>
    <s v="Tablero"/>
    <s v="..."/>
    <m/>
    <m/>
    <m/>
    <m/>
    <m/>
  </r>
  <r>
    <n v="81"/>
    <x v="0"/>
    <x v="0"/>
    <s v="Mantenimiento preventivo a puntos de inyección "/>
    <x v="0"/>
    <x v="5"/>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m/>
    <m/>
    <m/>
    <s v="Caudalímetro Mecánico"/>
    <s v="..."/>
    <m/>
    <m/>
    <m/>
    <m/>
    <m/>
  </r>
  <r>
    <n v="81"/>
    <x v="0"/>
    <x v="0"/>
    <s v="Mantenimiento preventivo a puntos de inyección "/>
    <x v="0"/>
    <x v="5"/>
    <x v="2"/>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m/>
    <m/>
    <m/>
    <m/>
    <m/>
    <m/>
    <s v="Tablero"/>
    <s v="..."/>
    <m/>
    <m/>
    <m/>
    <m/>
    <m/>
  </r>
  <r>
    <n v="78"/>
    <x v="1"/>
    <x v="0"/>
    <s v="Revisión pozo 24 caudalimetro "/>
    <x v="1"/>
    <x v="6"/>
    <x v="0"/>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m/>
    <m/>
    <m/>
    <m/>
    <m/>
    <m/>
    <m/>
    <m/>
    <m/>
  </r>
  <r>
    <n v="76"/>
    <x v="2"/>
    <x v="0"/>
    <s v="Conexión de sonda HL4 "/>
    <x v="2"/>
    <x v="7"/>
    <x v="3"/>
    <d v="2025-08-25T00:00:00"/>
    <s v="Patricio Cortez"/>
    <s v="Se realiza configuración de las id de las variables que se van a leer. Esto se hace por programa hydrolab, en componente Sutron programa linkcomm y equipo Uc300 programa Toolbox. Fueron configurados y comprobados los datos obtenidos. "/>
    <n v="3"/>
    <m/>
    <m/>
    <m/>
    <m/>
    <m/>
    <m/>
    <s v="Sonda multiparamétrica"/>
    <s v="Sonda multiparametrica HL4"/>
    <m/>
    <m/>
    <m/>
    <m/>
    <m/>
  </r>
  <r>
    <n v="89"/>
    <x v="3"/>
    <x v="0"/>
    <s v="Mantenimiento "/>
    <x v="3"/>
    <x v="8"/>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m/>
    <m/>
    <m/>
    <s v="Otro"/>
    <s v="Teltonika "/>
    <m/>
    <m/>
    <m/>
    <m/>
    <m/>
  </r>
  <r>
    <n v="89"/>
    <x v="3"/>
    <x v="0"/>
    <s v="Mantenimiento "/>
    <x v="3"/>
    <x v="8"/>
    <x v="1"/>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m/>
    <m/>
    <m/>
    <m/>
    <m/>
    <m/>
    <s v="Otro"/>
    <s v="Luz indicadora de voltaje"/>
    <m/>
    <m/>
    <m/>
    <m/>
    <m/>
  </r>
  <r>
    <n v="83"/>
    <x v="4"/>
    <x v="0"/>
    <m/>
    <x v="0"/>
    <x v="9"/>
    <x v="0"/>
    <d v="2025-08-26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m/>
    <m/>
    <m/>
    <m/>
    <m/>
    <m/>
    <m/>
    <m/>
    <m/>
  </r>
  <r>
    <n v="83"/>
    <x v="4"/>
    <x v="0"/>
    <m/>
    <x v="0"/>
    <x v="10"/>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m/>
    <m/>
    <m/>
    <s v="Tablero"/>
    <s v="We Nodo lora-solar"/>
    <m/>
    <m/>
    <m/>
    <m/>
    <m/>
  </r>
  <r>
    <n v="83"/>
    <x v="4"/>
    <x v="0"/>
    <m/>
    <x v="0"/>
    <x v="10"/>
    <x v="2"/>
    <d v="2025-08-26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m/>
    <m/>
    <m/>
    <m/>
    <m/>
    <m/>
    <s v="Caudalímetro Mecánico"/>
    <s v="DN40"/>
    <m/>
    <m/>
    <m/>
    <m/>
    <m/>
  </r>
  <r>
    <n v="83"/>
    <x v="4"/>
    <x v="0"/>
    <m/>
    <x v="0"/>
    <x v="11"/>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m/>
    <m/>
    <m/>
    <s v="Tablero"/>
    <s v="We Nodo lora-solar"/>
    <m/>
    <m/>
    <m/>
    <m/>
    <m/>
  </r>
  <r>
    <n v="83"/>
    <x v="4"/>
    <x v="0"/>
    <m/>
    <x v="0"/>
    <x v="11"/>
    <x v="2"/>
    <d v="2025-08-26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m/>
    <m/>
    <m/>
    <m/>
    <m/>
    <m/>
    <s v="Caudalímetro Mecánico"/>
    <s v="DN 40"/>
    <m/>
    <m/>
    <m/>
    <m/>
    <m/>
  </r>
  <r>
    <n v="82"/>
    <x v="5"/>
    <x v="0"/>
    <s v="Instalación y Configuración PMO-05"/>
    <x v="4"/>
    <x v="12"/>
    <x v="3"/>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m/>
    <m/>
    <m/>
    <m/>
    <m/>
    <m/>
    <s v="Sonda multiparamétrica"/>
    <s v="OTT"/>
    <m/>
    <m/>
    <m/>
    <m/>
    <m/>
  </r>
  <r>
    <n v="88"/>
    <x v="6"/>
    <x v="0"/>
    <s v="Instalación de sensores cortina 1 y cortina 2"/>
    <x v="5"/>
    <x v="13"/>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m/>
    <m/>
    <m/>
    <m/>
    <m/>
    <m/>
    <s v="Soportes y estructuras"/>
    <s v="NA"/>
    <m/>
    <m/>
    <m/>
    <m/>
    <m/>
  </r>
  <r>
    <n v="88"/>
    <x v="6"/>
    <x v="0"/>
    <s v="Instalación de sensores cortina 1 y cortina 2"/>
    <x v="6"/>
    <x v="14"/>
    <x v="3"/>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m/>
    <m/>
    <m/>
    <m/>
    <m/>
    <m/>
    <s v="Soportes y estructuras"/>
    <s v="NA"/>
    <m/>
    <m/>
    <m/>
    <m/>
    <m/>
  </r>
  <r>
    <n v="87"/>
    <x v="1"/>
    <x v="0"/>
    <s v="Capacitación plataforma ETWE"/>
    <x v="7"/>
    <x v="15"/>
    <x v="4"/>
    <d v="2025-08-27T00:00:00"/>
    <s v="APR La Peña"/>
    <s v="Se realiza capacitación exitosa del personal del apr respecto la funcionalidad de etwe"/>
    <n v="3"/>
    <m/>
    <m/>
    <m/>
    <m/>
    <m/>
    <m/>
    <m/>
    <m/>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Tablero"/>
    <s v="We nodo lora solar "/>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Caudalímetro Mecánico"/>
    <s v="MWN40-NK "/>
    <m/>
    <m/>
    <m/>
    <m/>
    <m/>
  </r>
  <r>
    <n v="86"/>
    <x v="0"/>
    <x v="0"/>
    <s v="Mantenciones preventivas"/>
    <x v="0"/>
    <x v="16"/>
    <x v="2"/>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m/>
    <m/>
    <m/>
    <m/>
    <m/>
    <m/>
    <s v="Otro"/>
    <s v="Panel fotovoltáico "/>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Tablero"/>
    <s v="We nodo lora solar"/>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Caudalímetro Mecánico"/>
    <s v="MWN40-NK"/>
    <m/>
    <m/>
    <m/>
    <m/>
    <m/>
  </r>
  <r>
    <n v="86"/>
    <x v="0"/>
    <x v="0"/>
    <s v="Mantenciones preventivas"/>
    <x v="0"/>
    <x v="17"/>
    <x v="2"/>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m/>
    <m/>
    <m/>
    <m/>
    <m/>
    <m/>
    <s v="Otro"/>
    <s v="Panel fotovoltáico "/>
    <m/>
    <m/>
    <m/>
    <m/>
    <m/>
  </r>
  <r>
    <n v="84"/>
    <x v="2"/>
    <x v="0"/>
    <s v="Instalación de sonda multiparametrica "/>
    <x v="8"/>
    <x v="18"/>
    <x v="3"/>
    <d v="2025-08-27T00:00:00"/>
    <s v="Patricio Cortez "/>
    <s v="Queda pendiente hacer cambio de la sonda para comprobar y validar los datos "/>
    <n v="3"/>
    <m/>
    <m/>
    <m/>
    <m/>
    <m/>
    <m/>
    <s v="Sonda multiparamétrica"/>
    <s v="HL4"/>
    <m/>
    <m/>
    <m/>
    <m/>
    <m/>
  </r>
  <r>
    <n v="84"/>
    <x v="2"/>
    <x v="0"/>
    <s v="Instalación de sonda multiparametrica "/>
    <x v="2"/>
    <x v="19"/>
    <x v="3"/>
    <d v="2025-08-27T00:00:00"/>
    <s v="Patricio Cortez "/>
    <s v="Se instala sonda multiparametrica HL4 en recinto PME-11 pendiente de configuración las variables que se deben leer._x000a_En el equipo UC300 se encuentra configurado, solo está pendiente en equipo Sutron."/>
    <n v="3"/>
    <m/>
    <m/>
    <m/>
    <m/>
    <m/>
    <m/>
    <s v="Sonda multiparamétrica"/>
    <s v="HL4"/>
    <m/>
    <m/>
    <m/>
    <m/>
    <m/>
  </r>
  <r>
    <n v="92"/>
    <x v="2"/>
    <x v="0"/>
    <s v="Revicion de cable de comunicación de sonda HL4 "/>
    <x v="8"/>
    <x v="20"/>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m/>
    <m/>
    <m/>
    <m/>
    <m/>
    <m/>
    <m/>
    <m/>
    <m/>
  </r>
  <r>
    <n v="91"/>
    <x v="0"/>
    <x v="0"/>
    <s v="Mantenimiento preventivo y soporte "/>
    <x v="9"/>
    <x v="21"/>
    <x v="4"/>
    <d v="2025-08-28T00:00:00"/>
    <s v="Superintendencia de recursos hídricos "/>
    <s v="Se realiza charla de seguridad por parte de AA para avanzar en aspectos de prevención en momentos de trabajo y conmemoración a situación ocurrida en El Teniente."/>
    <n v="3"/>
    <m/>
    <m/>
    <m/>
    <m/>
    <m/>
    <m/>
    <m/>
    <m/>
    <m/>
    <m/>
    <m/>
    <m/>
    <m/>
  </r>
  <r>
    <n v="91"/>
    <x v="0"/>
    <x v="0"/>
    <s v="Mantenimiento preventivo y soporte "/>
    <x v="0"/>
    <x v="22"/>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Tablero"/>
    <s v="We connect Gateway con unidad de respaldo "/>
    <m/>
    <m/>
    <m/>
    <m/>
    <m/>
  </r>
  <r>
    <n v="91"/>
    <x v="0"/>
    <x v="0"/>
    <s v="Mantenimiento preventivo y soporte "/>
    <x v="0"/>
    <x v="22"/>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Otro"/>
    <s v="Panel fotovoltáico "/>
    <m/>
    <m/>
    <m/>
    <m/>
    <m/>
  </r>
  <r>
    <n v="91"/>
    <x v="0"/>
    <x v="0"/>
    <s v="Mantenimiento preventivo y soporte "/>
    <x v="0"/>
    <x v="22"/>
    <x v="1"/>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m/>
    <m/>
    <m/>
    <m/>
    <m/>
    <m/>
    <s v="Otro"/>
    <s v="Banco de baterias NIMAC 6-GFM-100J_x000a_12V 100AH_x000a__x000a_Batería nueva instalada _x000a__x000a_Ultracell UCG100-12 (12V 100AH/10HR)"/>
    <m/>
    <m/>
    <m/>
    <m/>
    <m/>
  </r>
  <r>
    <n v="91"/>
    <x v="0"/>
    <x v="0"/>
    <s v="Mantenimiento preventivo y soporte "/>
    <x v="0"/>
    <x v="11"/>
    <x v="1"/>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m/>
    <m/>
    <m/>
    <m/>
    <m/>
    <m/>
    <s v="Otro"/>
    <s v="Banco de baterías _x000a__x000a_Modelo NIMAC 6-GFM-100J_x000a_12V 100AH"/>
    <m/>
    <m/>
    <m/>
    <m/>
    <m/>
  </r>
  <r>
    <n v="90"/>
    <x v="3"/>
    <x v="0"/>
    <s v="Instalación de franjas reflectores en cortinas"/>
    <x v="5"/>
    <x v="13"/>
    <x v="3"/>
    <d v="2025-08-28T00:00:00"/>
    <s v="Biodiversa Cabrero "/>
    <s v="Queda operativo y se visualiza a distancia las cintas para operar cortinas hasta activación de finales de carrera"/>
    <n v="3"/>
    <m/>
    <m/>
    <m/>
    <m/>
    <m/>
    <m/>
    <s v="Otro"/>
    <s v="N/A"/>
    <m/>
    <m/>
    <m/>
    <m/>
    <m/>
  </r>
  <r>
    <n v="98"/>
    <x v="5"/>
    <x v="0"/>
    <s v="Viaje a Calama "/>
    <x v="10"/>
    <x v="23"/>
    <x v="5"/>
    <d v="2025-09-01T00:00:00"/>
    <s v="Gasco RT"/>
    <s v="Viaje ok, retiro de herramientas, gestiones ok"/>
    <n v="3"/>
    <m/>
    <m/>
    <m/>
    <m/>
    <m/>
    <m/>
    <m/>
    <m/>
    <m/>
    <m/>
    <m/>
    <m/>
    <m/>
  </r>
  <r>
    <n v="93"/>
    <x v="0"/>
    <x v="0"/>
    <s v="Mantenimiento preventivo "/>
    <x v="0"/>
    <x v="1"/>
    <x v="0"/>
    <d v="2025-09-01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m/>
    <m/>
    <m/>
    <m/>
    <m/>
    <m/>
    <m/>
    <m/>
    <m/>
  </r>
  <r>
    <n v="93"/>
    <x v="0"/>
    <x v="0"/>
    <s v="Mantenimiento preventivo "/>
    <x v="11"/>
    <x v="24"/>
    <x v="6"/>
    <d v="2025-09-01T00:00:00"/>
    <s v="Gestión hídrica de el soldado "/>
    <s v="Se realiza entrega de caudalimetro mecánico a señor Diego Ramos de la empresa SS para su instalación y posterior configuración por parte de We-Techs "/>
    <n v="3"/>
    <m/>
    <m/>
    <m/>
    <m/>
    <m/>
    <m/>
    <m/>
    <m/>
    <m/>
    <m/>
    <m/>
    <m/>
    <m/>
  </r>
  <r>
    <n v="93"/>
    <x v="0"/>
    <x v="0"/>
    <s v="Mantenimiento preventivo "/>
    <x v="0"/>
    <x v="25"/>
    <x v="5"/>
    <d v="2025-09-01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m/>
    <m/>
    <m/>
    <m/>
    <m/>
    <m/>
    <m/>
    <m/>
    <m/>
  </r>
  <r>
    <n v="93"/>
    <x v="0"/>
    <x v="0"/>
    <s v="Mantenimiento preventivo "/>
    <x v="0"/>
    <x v="26"/>
    <x v="0"/>
    <d v="2025-09-01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m/>
    <m/>
    <m/>
    <m/>
    <m/>
    <m/>
    <m/>
    <m/>
    <m/>
  </r>
  <r>
    <n v="93"/>
    <x v="0"/>
    <x v="0"/>
    <s v="Mantenimiento preventivo "/>
    <x v="0"/>
    <x v="27"/>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m/>
    <m/>
    <m/>
    <m/>
    <m/>
    <m/>
    <s v="Sonda multiparamétrica"/>
    <s v="Multiparamétrica "/>
    <m/>
    <m/>
    <m/>
    <m/>
    <m/>
  </r>
  <r>
    <n v="93"/>
    <x v="0"/>
    <x v="0"/>
    <s v="Mantenimiento preventivo "/>
    <x v="0"/>
    <x v="28"/>
    <x v="3"/>
    <d v="2025-09-01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m/>
    <m/>
    <m/>
    <m/>
    <m/>
    <m/>
    <s v="Sonda multiparamétrica"/>
    <s v="Multiparamétrica "/>
    <m/>
    <m/>
    <m/>
    <m/>
    <m/>
  </r>
  <r>
    <n v="103"/>
    <x v="7"/>
    <x v="0"/>
    <s v="Negocios"/>
    <x v="2"/>
    <x v="29"/>
    <x v="5"/>
    <d v="2025-09-02T00:00:00"/>
    <s v="RLC"/>
    <s v="OT prueba - firma retroactiva"/>
    <n v="2"/>
    <m/>
    <m/>
    <m/>
    <m/>
    <m/>
    <m/>
    <m/>
    <m/>
    <m/>
    <m/>
    <m/>
    <m/>
    <m/>
  </r>
  <r>
    <n v="99"/>
    <x v="3"/>
    <x v="0"/>
    <s v="Precomisamiento Gasco RT Zona 1"/>
    <x v="10"/>
    <x v="23"/>
    <x v="3"/>
    <d v="2025-09-02T00:00:00"/>
    <s v="Gasco minería RT"/>
    <s v="Se avanza un estado total de instalación en zona 1 del 60% validado por personal de gasco."/>
    <n v="3"/>
    <m/>
    <m/>
    <m/>
    <m/>
    <m/>
    <m/>
    <s v="Otro"/>
    <s v="N/A"/>
    <m/>
    <m/>
    <m/>
    <m/>
    <m/>
  </r>
  <r>
    <n v="97"/>
    <x v="0"/>
    <x v="0"/>
    <s v="Mantenimiento preventivo/ cambio de sonda multiparamétrica "/>
    <x v="0"/>
    <x v="1"/>
    <x v="0"/>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m/>
    <m/>
    <m/>
    <m/>
    <m/>
    <m/>
    <m/>
    <m/>
    <m/>
  </r>
  <r>
    <n v="97"/>
    <x v="0"/>
    <x v="0"/>
    <s v="Mantenimiento preventivo/ cambio de sonda multiparamétrica "/>
    <x v="0"/>
    <x v="30"/>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m/>
    <m/>
    <m/>
    <m/>
    <m/>
    <m/>
    <m/>
    <m/>
    <m/>
  </r>
  <r>
    <n v="97"/>
    <x v="0"/>
    <x v="0"/>
    <s v="Mantenimiento preventivo/ cambio de sonda multiparamétrica "/>
    <x v="0"/>
    <x v="31"/>
    <x v="1"/>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m/>
    <m/>
    <m/>
    <m/>
    <m/>
    <m/>
    <s v="Sonda multiparamétrica"/>
    <s v="Aqualabo"/>
    <m/>
    <m/>
    <m/>
    <m/>
    <m/>
  </r>
  <r>
    <n v="96"/>
    <x v="8"/>
    <x v="0"/>
    <s v="Instalación, revisión y pruebas de funcionamiento de sondas_x000a_multiparamétricas"/>
    <x v="2"/>
    <x v="32"/>
    <x v="0"/>
    <d v="2025-09-02T00:00:00"/>
    <s v="Patricio Cortez"/>
    <s v="Se realiza inspección visual para la recopilación de imágenes e_x000a_informar a cliente que empresa externa aún no realiza la instalación de las válvulas de_x000a_bola en cuello de cisne que se encuentran pendientes."/>
    <n v="3"/>
    <m/>
    <m/>
    <m/>
    <m/>
    <m/>
    <m/>
    <m/>
    <m/>
    <m/>
    <m/>
    <m/>
    <m/>
    <m/>
  </r>
  <r>
    <n v="96"/>
    <x v="8"/>
    <x v="0"/>
    <s v="Instalación, revisión y pruebas de funcionamiento de sondas_x000a_multiparamétricas"/>
    <x v="2"/>
    <x v="33"/>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m/>
    <m/>
    <m/>
    <s v="Sonda multiparamétrica"/>
    <s v="HL4"/>
    <m/>
    <m/>
    <m/>
    <m/>
    <m/>
  </r>
  <r>
    <n v="96"/>
    <x v="8"/>
    <x v="0"/>
    <s v="Instalación, revisión y pruebas de funcionamiento de sondas_x000a_multiparamétricas"/>
    <x v="2"/>
    <x v="7"/>
    <x v="3"/>
    <d v="2025-09-02T00:00:00"/>
    <s v="Patricio Cortez"/>
    <s v="Se realiza instalación y pruebas de funcionamiento de sonda_x000a_multiparametrica, en la cual se verifica que el cable de comunicación de la sonda se_x000a_encuentra defectuoso imposibilitando la lectura del instrumento."/>
    <n v="3"/>
    <m/>
    <m/>
    <m/>
    <m/>
    <m/>
    <m/>
    <s v="Sonda multiparamétrica"/>
    <s v="HL4"/>
    <m/>
    <m/>
    <m/>
    <m/>
    <m/>
  </r>
  <r>
    <n v="115"/>
    <x v="9"/>
    <x v="0"/>
    <s v="Visita R3050 - Los Bronces"/>
    <x v="12"/>
    <x v="34"/>
    <x v="0"/>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m/>
    <m/>
    <m/>
    <m/>
    <m/>
    <m/>
    <m/>
    <m/>
    <m/>
  </r>
  <r>
    <n v="115"/>
    <x v="9"/>
    <x v="0"/>
    <s v="Visita R3050 - Los Bronces"/>
    <x v="12"/>
    <x v="35"/>
    <x v="0"/>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m/>
    <m/>
    <m/>
    <m/>
    <m/>
    <m/>
    <m/>
    <m/>
    <m/>
  </r>
  <r>
    <n v="115"/>
    <x v="9"/>
    <x v="0"/>
    <s v="Visita R3050 - Los Bronces"/>
    <x v="12"/>
    <x v="36"/>
    <x v="0"/>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m/>
    <m/>
    <m/>
    <m/>
    <m/>
    <m/>
    <m/>
    <m/>
    <m/>
  </r>
  <r>
    <n v="102"/>
    <x v="3"/>
    <x v="0"/>
    <s v="Precomisamiento "/>
    <x v="10"/>
    <x v="23"/>
    <x v="5"/>
    <d v="2025-09-03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m/>
    <m/>
    <m/>
    <m/>
    <m/>
    <m/>
    <m/>
    <m/>
    <m/>
  </r>
  <r>
    <n v="101"/>
    <x v="0"/>
    <x v="0"/>
    <s v="Instalación / soporte"/>
    <x v="0"/>
    <x v="37"/>
    <x v="0"/>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m/>
    <m/>
    <m/>
    <m/>
    <m/>
    <m/>
    <m/>
    <m/>
    <m/>
  </r>
  <r>
    <n v="101"/>
    <x v="0"/>
    <x v="0"/>
    <s v="Instalación / soporte"/>
    <x v="13"/>
    <x v="38"/>
    <x v="0"/>
    <d v="2025-09-03T00:00:00"/>
    <s v="Superintendencia de recursos hídricos "/>
    <s v="Se acude a cachimba reelevadora para agregar usuario con la patente de camión en el sistema para que pueda realizar extracción de agua._x000a_No se presentan observaciones."/>
    <n v="3"/>
    <m/>
    <m/>
    <m/>
    <m/>
    <m/>
    <m/>
    <m/>
    <m/>
    <m/>
    <m/>
    <m/>
    <m/>
    <m/>
  </r>
  <r>
    <n v="101"/>
    <x v="0"/>
    <x v="0"/>
    <s v="Instalación / soporte"/>
    <x v="14"/>
    <x v="39"/>
    <x v="0"/>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m/>
    <m/>
    <m/>
    <m/>
    <m/>
    <m/>
    <m/>
    <m/>
    <m/>
  </r>
  <r>
    <n v="101"/>
    <x v="0"/>
    <x v="0"/>
    <s v="Instalación / soporte"/>
    <x v="0"/>
    <x v="40"/>
    <x v="0"/>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m/>
    <m/>
    <m/>
    <m/>
    <m/>
    <m/>
    <m/>
    <m/>
    <m/>
  </r>
  <r>
    <n v="101"/>
    <x v="0"/>
    <x v="0"/>
    <s v="Instalación / soporte"/>
    <x v="0"/>
    <x v="28"/>
    <x v="0"/>
    <d v="2025-09-03T00:00:00"/>
    <s v="Superintendencia de recursos hídricos "/>
    <s v="Se acude a PM-4 para aplicar reset en el punto ya que no estaba enviando datos actualizados_x000a_ Queda transmitiendo a plataforma con verificación de variables congruentes."/>
    <n v="3"/>
    <m/>
    <m/>
    <m/>
    <m/>
    <m/>
    <m/>
    <m/>
    <m/>
    <m/>
    <m/>
    <m/>
    <m/>
    <m/>
  </r>
  <r>
    <n v="101"/>
    <x v="0"/>
    <x v="0"/>
    <s v="Instalación / soporte"/>
    <x v="15"/>
    <x v="41"/>
    <x v="3"/>
    <d v="2025-09-03T00:00:00"/>
    <s v="Superintendencia de recursos hídricos "/>
    <s v="Se le hace entrega de materiales a SS para montar tablero, se entrega con los soportes y también una batería de 12V 55AH para poder instalar en VB y posterior conexionado por parte de W-Techs."/>
    <n v="3"/>
    <m/>
    <m/>
    <m/>
    <m/>
    <m/>
    <m/>
    <s v="Tablero"/>
    <s v="Nodo"/>
    <m/>
    <m/>
    <m/>
    <m/>
    <m/>
  </r>
  <r>
    <n v="100"/>
    <x v="2"/>
    <x v="0"/>
    <s v="Revicion de cables sonda multiparametrica "/>
    <x v="2"/>
    <x v="29"/>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2"/>
    <x v="4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m/>
    <m/>
    <m/>
    <m/>
    <m/>
    <m/>
    <m/>
    <m/>
    <m/>
  </r>
  <r>
    <n v="100"/>
    <x v="2"/>
    <x v="0"/>
    <s v="Revicion de cables sonda multiparametrica "/>
    <x v="2"/>
    <x v="4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16"/>
    <x v="44"/>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00"/>
    <x v="2"/>
    <x v="0"/>
    <s v="Revicion de cables sonda multiparametrica "/>
    <x v="2"/>
    <x v="32"/>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m/>
    <m/>
    <m/>
    <m/>
    <m/>
    <m/>
    <m/>
    <m/>
    <m/>
  </r>
  <r>
    <n v="114"/>
    <x v="9"/>
    <x v="0"/>
    <s v="Visita R2700 - Los Bronces "/>
    <x v="12"/>
    <x v="45"/>
    <x v="0"/>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m/>
    <m/>
    <m/>
    <m/>
    <m/>
    <m/>
    <m/>
    <m/>
    <m/>
  </r>
  <r>
    <n v="114"/>
    <x v="9"/>
    <x v="0"/>
    <s v="Visita R2700 - Los Bronces "/>
    <x v="12"/>
    <x v="46"/>
    <x v="0"/>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m/>
    <m/>
    <m/>
    <m/>
    <m/>
    <m/>
    <m/>
    <m/>
    <m/>
  </r>
  <r>
    <n v="106"/>
    <x v="3"/>
    <x v="0"/>
    <s v="ProCom Zona 1"/>
    <x v="10"/>
    <x v="23"/>
    <x v="3"/>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m/>
    <m/>
    <m/>
    <m/>
    <m/>
    <m/>
    <s v="Otro"/>
    <s v="N/A"/>
    <m/>
    <m/>
    <m/>
    <m/>
    <m/>
  </r>
  <r>
    <n v="105"/>
    <x v="8"/>
    <x v="0"/>
    <s v="Instalación de Tablero Lora e integración de instrumento caudalimetro"/>
    <x v="0"/>
    <x v="47"/>
    <x v="0"/>
    <d v="2025-09-04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m/>
    <m/>
    <m/>
    <m/>
    <m/>
    <m/>
    <m/>
    <m/>
    <m/>
  </r>
  <r>
    <n v="105"/>
    <x v="8"/>
    <x v="0"/>
    <s v="Instalación de Tablero Lora e integración de instrumento caudalimetro"/>
    <x v="0"/>
    <x v="1"/>
    <x v="0"/>
    <d v="2025-09-04T00:00:00"/>
    <s v="Gestión Hídrica El Soldado "/>
    <s v="Se atiende a contigencia para realizar apertura de válvula permitiendo el paso flujo desde piscina UG hacia piscina 3800"/>
    <n v="3"/>
    <m/>
    <m/>
    <m/>
    <m/>
    <m/>
    <m/>
    <m/>
    <m/>
    <m/>
    <m/>
    <m/>
    <m/>
    <m/>
  </r>
  <r>
    <n v="105"/>
    <x v="8"/>
    <x v="0"/>
    <s v="Instalación de Tablero Lora e integración de instrumento caudalimetro"/>
    <x v="0"/>
    <x v="47"/>
    <x v="3"/>
    <d v="2025-09-04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m/>
    <m/>
    <m/>
    <m/>
    <m/>
    <m/>
    <s v="Caudalímetro"/>
    <s v="Mecánico "/>
    <m/>
    <m/>
    <m/>
    <m/>
    <m/>
  </r>
  <r>
    <n v="104"/>
    <x v="2"/>
    <x v="0"/>
    <s v="Instalación solución flowcell "/>
    <x v="2"/>
    <x v="29"/>
    <x v="3"/>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m/>
    <m/>
    <m/>
    <m/>
    <m/>
    <m/>
    <s v="Sonda multiparamétrica"/>
    <s v="HL4"/>
    <m/>
    <m/>
    <m/>
    <m/>
    <m/>
  </r>
  <r>
    <n v="110"/>
    <x v="8"/>
    <x v="0"/>
    <s v="Retiro y cambio de sondas multiparametricas "/>
    <x v="17"/>
    <x v="48"/>
    <x v="0"/>
    <d v="2025-09-05T00:00:00"/>
    <s v="Gestión Hídrica El Soldado "/>
    <s v="Se realiza retiro de sonda multiparametrica para su calibración, dejando instalada operativa y en funcionamiento una de manera provisoria."/>
    <n v="3"/>
    <m/>
    <m/>
    <m/>
    <m/>
    <m/>
    <m/>
    <m/>
    <m/>
    <m/>
    <m/>
    <m/>
    <m/>
    <m/>
  </r>
  <r>
    <n v="110"/>
    <x v="8"/>
    <x v="0"/>
    <s v="Retiro y cambio de sondas multiparametricas "/>
    <x v="0"/>
    <x v="49"/>
    <x v="0"/>
    <d v="2025-09-05T00:00:00"/>
    <s v="Gestión Hídrica El Soldado "/>
    <s v="Se realiza retiro de sonda multiparametrica para su calibración, dejando instalada operativa y en funcionamiento una de manera provisoria."/>
    <n v="3"/>
    <m/>
    <m/>
    <m/>
    <m/>
    <m/>
    <m/>
    <m/>
    <m/>
    <m/>
    <m/>
    <m/>
    <m/>
    <m/>
  </r>
  <r>
    <n v="110"/>
    <x v="8"/>
    <x v="0"/>
    <s v="Retiro y cambio de sondas multiparametricas "/>
    <x v="0"/>
    <x v="50"/>
    <x v="0"/>
    <d v="2025-09-05T00:00:00"/>
    <s v="Gestión Hídrica El Soldado "/>
    <s v="Se realiza retiro de sonda multiparametrica para su calibración, dejando instalada operativa y en funcionamiento una de manera provisoria."/>
    <n v="3"/>
    <m/>
    <m/>
    <m/>
    <m/>
    <m/>
    <m/>
    <m/>
    <m/>
    <m/>
    <m/>
    <m/>
    <m/>
    <m/>
  </r>
  <r>
    <n v="108"/>
    <x v="2"/>
    <x v="0"/>
    <s v="Instalación de resolución 31 "/>
    <x v="2"/>
    <x v="43"/>
    <x v="3"/>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m/>
    <m/>
    <m/>
    <m/>
    <m/>
  </r>
  <r>
    <n v="108"/>
    <x v="2"/>
    <x v="0"/>
    <s v="Instalación de resolución 31 "/>
    <x v="2"/>
    <x v="42"/>
    <x v="3"/>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m/>
    <m/>
    <m/>
    <m/>
    <m/>
    <m/>
    <s v="Sonda multiparamétrica"/>
    <s v="HL4"/>
    <m/>
    <m/>
    <m/>
    <m/>
    <m/>
  </r>
  <r>
    <n v="112"/>
    <x v="2"/>
    <x v="0"/>
    <s v="Generar documentación para trabajos en tableros de telemetría "/>
    <x v="2"/>
    <x v="19"/>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m/>
    <m/>
    <m/>
    <m/>
    <m/>
    <m/>
    <m/>
    <m/>
    <m/>
  </r>
  <r>
    <n v="112"/>
    <x v="2"/>
    <x v="0"/>
    <s v="Generar documentación para trabajos en tableros de telemetría "/>
    <x v="2"/>
    <x v="51"/>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m/>
    <m/>
    <m/>
    <m/>
    <m/>
    <m/>
    <m/>
    <m/>
    <m/>
  </r>
  <r>
    <n v="111"/>
    <x v="6"/>
    <x v="0"/>
    <s v="Mantenimiento preventivo "/>
    <x v="0"/>
    <x v="52"/>
    <x v="0"/>
    <d v="2025-09-08T00:00:00"/>
    <s v="Superintendencia de recursos hidricos "/>
    <s v="Realizamos mantenimiento preventivo._x000a_Limpieza de panel solar._x000a_Reapriete de conexión._x000a_Limpieza de tableros._x000a_Revisión en plataforma "/>
    <n v="3"/>
    <m/>
    <m/>
    <m/>
    <m/>
    <m/>
    <m/>
    <m/>
    <m/>
    <m/>
    <m/>
    <m/>
    <m/>
    <m/>
  </r>
  <r>
    <n v="111"/>
    <x v="6"/>
    <x v="0"/>
    <s v="Mantenimiento preventivo "/>
    <x v="0"/>
    <x v="53"/>
    <x v="0"/>
    <d v="2025-09-08T00:00:00"/>
    <s v="Superintendencia de recursos hidricos "/>
    <s v="Se coordina con SS para realizar los trabajos de montaje del caudalimetro y modificar pi ping por parte de ellos._x000a_Se explica en terreno lo que deben realizar. _x000a_"/>
    <n v="3"/>
    <m/>
    <m/>
    <m/>
    <m/>
    <m/>
    <m/>
    <m/>
    <m/>
    <m/>
    <m/>
    <m/>
    <m/>
    <m/>
  </r>
  <r>
    <n v="111"/>
    <x v="6"/>
    <x v="0"/>
    <s v="Mantenimiento preventivo "/>
    <x v="0"/>
    <x v="30"/>
    <x v="0"/>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m/>
    <m/>
    <m/>
    <m/>
    <m/>
    <m/>
    <m/>
    <m/>
    <m/>
  </r>
  <r>
    <n v="118"/>
    <x v="6"/>
    <x v="0"/>
    <s v="Mantenimiento preventivo "/>
    <x v="0"/>
    <x v="1"/>
    <x v="0"/>
    <d v="2025-09-09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m/>
    <m/>
    <m/>
    <m/>
    <m/>
    <m/>
    <m/>
    <m/>
    <m/>
  </r>
  <r>
    <n v="118"/>
    <x v="6"/>
    <x v="0"/>
    <s v="Mantenimiento preventivo "/>
    <x v="0"/>
    <x v="53"/>
    <x v="0"/>
    <d v="2025-09-09T00:00:00"/>
    <s v="Superintendencia de recursos hidricos "/>
    <s v="Se comunica con empresa SS para saber em estatus de los trabajos de instalación que fueron solicitados."/>
    <n v="3"/>
    <m/>
    <m/>
    <m/>
    <m/>
    <m/>
    <m/>
    <m/>
    <m/>
    <m/>
    <m/>
    <m/>
    <m/>
    <m/>
  </r>
  <r>
    <n v="118"/>
    <x v="6"/>
    <x v="0"/>
    <s v="Mantenimiento preventivo "/>
    <x v="0"/>
    <x v="30"/>
    <x v="3"/>
    <d v="2025-09-09T00:00:00"/>
    <s v="Superintendencia de recursos hidricos "/>
    <s v="Realizamos instalación de tapón pvc para instalación de sensor._x000a_Realizamos la medición de sensor de nivel realizando marcas cada 5 mts ._x000a_Se realizo instalación de sensor de nivel a 74 mts de profundidad."/>
    <n v="3"/>
    <m/>
    <m/>
    <m/>
    <m/>
    <m/>
    <m/>
    <s v="Sensor de nivel"/>
    <s v="Keller"/>
    <m/>
    <m/>
    <m/>
    <m/>
    <m/>
  </r>
  <r>
    <n v="117"/>
    <x v="0"/>
    <x v="0"/>
    <s v="Montaje de cilindro para sonda multiparamétrica."/>
    <x v="18"/>
    <x v="54"/>
    <x v="0"/>
    <d v="2025-09-09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m/>
    <m/>
    <m/>
    <m/>
    <m/>
    <m/>
    <m/>
    <m/>
    <m/>
  </r>
  <r>
    <n v="117"/>
    <x v="0"/>
    <x v="0"/>
    <s v="Montaje de cilindro para sonda multiparamétrica."/>
    <x v="2"/>
    <x v="32"/>
    <x v="3"/>
    <d v="2025-09-09T00:00:00"/>
    <s v="Patricio Cortes "/>
    <s v="Se realiza montaje de cilindro acrílico y microtubo para la llegada del agua a flowcell, el cual también se instala._x000a_Queda pendiente la instalación e integración de la sonda en plataforma."/>
    <n v="3"/>
    <m/>
    <m/>
    <m/>
    <m/>
    <m/>
    <m/>
    <s v="Otro"/>
    <s v="Cilindro acrílico "/>
    <m/>
    <m/>
    <m/>
    <m/>
    <m/>
  </r>
  <r>
    <n v="117"/>
    <x v="0"/>
    <x v="0"/>
    <s v="Montaje de cilindro para sonda multiparamétrica."/>
    <x v="2"/>
    <x v="32"/>
    <x v="3"/>
    <d v="2025-09-09T00:00:00"/>
    <s v="Patricio Cortes "/>
    <s v="Se realiza montaje de cilindro acrílico y microtubo para la llegada del agua a flowcell, el cual también se instala._x000a_Queda pendiente la instalación e integración de la sonda en plataforma."/>
    <n v="3"/>
    <m/>
    <m/>
    <m/>
    <m/>
    <m/>
    <m/>
    <s v="Otro"/>
    <s v="Microtubo azul "/>
    <m/>
    <m/>
    <m/>
    <m/>
    <m/>
  </r>
  <r>
    <n v="116"/>
    <x v="2"/>
    <x v="0"/>
    <s v="Integración de sonda multiparametrica "/>
    <x v="2"/>
    <x v="42"/>
    <x v="3"/>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m/>
    <m/>
    <m/>
    <m/>
    <m/>
    <m/>
    <s v="Sonda multiparamétrica"/>
    <s v="HL4"/>
    <m/>
    <m/>
    <m/>
    <m/>
    <m/>
  </r>
  <r>
    <n v="116"/>
    <x v="2"/>
    <x v="0"/>
    <s v="Integración de sonda multiparametrica "/>
    <x v="16"/>
    <x v="44"/>
    <x v="3"/>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m/>
    <m/>
    <m/>
    <m/>
    <m/>
    <m/>
    <s v="Sonda multiparamétrica"/>
    <s v="HL4"/>
    <m/>
    <m/>
    <m/>
    <m/>
    <m/>
  </r>
  <r>
    <n v="121"/>
    <x v="0"/>
    <x v="0"/>
    <s v="Montaje estructura para sonda multiparamétrica "/>
    <x v="16"/>
    <x v="44"/>
    <x v="3"/>
    <d v="2025-09-10T00:00:00"/>
    <s v="Patricio Cortes "/>
    <s v="Se realiza montaje de cilindro para almacenar la sonda multiparamétrica. Además se realiza la  canalización de microtubo azul que pasa por flowcell. _x000a_"/>
    <n v="3"/>
    <m/>
    <m/>
    <m/>
    <m/>
    <m/>
    <m/>
    <s v="Otro"/>
    <s v="Cilindro para albergar sonda multiparamétrica "/>
    <m/>
    <m/>
    <m/>
    <m/>
    <m/>
  </r>
  <r>
    <n v="121"/>
    <x v="0"/>
    <x v="0"/>
    <s v="Montaje estructura para sonda multiparamétrica "/>
    <x v="16"/>
    <x v="44"/>
    <x v="3"/>
    <d v="2025-09-10T00:00:00"/>
    <s v="Patricio Cortes "/>
    <s v="Se realiza montaje de cilindro para almacenar sonda multiparamétrica. Además se realiza la  canalización de microtubo azul que pasa por flowcell. "/>
    <n v="3"/>
    <m/>
    <m/>
    <m/>
    <m/>
    <m/>
    <m/>
    <s v="Otro"/>
    <s v="Cilindro para albergar sonda multiparamétrica "/>
    <m/>
    <m/>
    <m/>
    <m/>
    <m/>
  </r>
  <r>
    <n v="120"/>
    <x v="8"/>
    <x v="0"/>
    <s v="Levantamiento e instalación de case"/>
    <x v="2"/>
    <x v="55"/>
    <x v="3"/>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m/>
    <m/>
    <m/>
    <m/>
    <m/>
    <m/>
    <s v="Otro"/>
    <s v="…"/>
    <m/>
    <m/>
    <m/>
    <m/>
    <m/>
  </r>
  <r>
    <n v="119"/>
    <x v="4"/>
    <x v="0"/>
    <s v="Conexionado de instrumentación y mantenimiento preventivo."/>
    <x v="0"/>
    <x v="56"/>
    <x v="0"/>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m/>
    <m/>
    <m/>
    <m/>
    <m/>
    <m/>
    <m/>
  </r>
  <r>
    <n v="119"/>
    <x v="4"/>
    <x v="0"/>
    <s v="Conexionado de instrumentación y mantenimiento preventivo."/>
    <x v="0"/>
    <x v="53"/>
    <x v="3"/>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m/>
    <m/>
    <m/>
    <m/>
    <m/>
    <m/>
    <s v="Caudalímetro"/>
    <s v="MWN50-NK"/>
    <m/>
    <m/>
    <m/>
    <m/>
    <m/>
  </r>
  <r>
    <n v="119"/>
    <x v="4"/>
    <x v="0"/>
    <s v="Conexionado de instrumentación y mantenimiento preventivo."/>
    <x v="0"/>
    <x v="56"/>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s v="Tablero"/>
    <s v="Tablero Nodo Lora "/>
    <m/>
    <m/>
    <m/>
    <m/>
    <m/>
  </r>
  <r>
    <n v="119"/>
    <x v="4"/>
    <x v="0"/>
    <s v="Conexionado de instrumentación y mantenimiento preventivo."/>
    <x v="0"/>
    <x v="56"/>
    <x v="2"/>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m/>
    <m/>
    <s v="Sonda multiparamétrica"/>
    <s v="Aquello Tripod"/>
    <m/>
    <m/>
    <m/>
    <m/>
    <m/>
  </r>
  <r>
    <n v="119"/>
    <x v="4"/>
    <x v="0"/>
    <s v="Conexionado de instrumentación y mantenimiento preventivo."/>
    <x v="0"/>
    <x v="40"/>
    <x v="2"/>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m/>
    <m/>
    <m/>
    <m/>
    <m/>
    <m/>
    <s v="Tablero"/>
    <s v="Nodo Lora"/>
    <s v="No solicitado"/>
    <s v="A la hora de generar el montaje de los equipos previamente menciona, se detecta que hay una bomba trifásica por instalar, lo cual dificulta el trabajo continuo, haciéndolo inseguro."/>
    <m/>
    <m/>
    <m/>
  </r>
  <r>
    <n v="119"/>
    <x v="4"/>
    <x v="0"/>
    <s v="Conexionado de instrumentación y mantenimiento preventivo."/>
    <x v="0"/>
    <x v="57"/>
    <x v="2"/>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m/>
    <m/>
    <m/>
    <m/>
    <m/>
    <m/>
    <s v="Tablero"/>
    <s v=" Dragino LT-22222 "/>
    <s v="No solicitado"/>
    <s v="No presenta daño."/>
    <m/>
    <m/>
    <m/>
  </r>
  <r>
    <n v="124"/>
    <x v="0"/>
    <x v="0"/>
    <s v="Reemplazo de componentes, apoyo a grupo 1"/>
    <x v="2"/>
    <x v="58"/>
    <x v="3"/>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m/>
    <m/>
    <m/>
    <m/>
    <m/>
    <m/>
    <s v="Otro"/>
    <s v="Batería Ultracell UCG100-12 (2)_x000a_Controlador solar Epever MPPT (1)"/>
    <s v="No solicitado"/>
    <s v="1. Se deja instalado el gabinete y se almacenan las baterías en su interior. Adicionalmente, se deja el cableado listo para la operación._x000a_2. Se cablea la UPS, dejándola aguas arriba del interruptor general de nuestro tablero de alimentación. De esta forma, respalda el equipo y filtra correctamente los picos de voltaje._x000a_"/>
    <m/>
    <m/>
    <m/>
  </r>
  <r>
    <n v="124"/>
    <x v="0"/>
    <x v="0"/>
    <s v="Reemplazo de componentes, apoyo a grupo 1"/>
    <x v="2"/>
    <x v="55"/>
    <x v="3"/>
    <d v="2025-09-11T00:00:00"/>
    <s v="Patricio Cortes "/>
    <s v="Se realiza canalización de microtubo para la llegada desde válvula hacia flowcell de sonda multiparamétrica "/>
    <n v="3"/>
    <m/>
    <m/>
    <m/>
    <m/>
    <m/>
    <m/>
    <s v="Otro"/>
    <s v="Microtubo"/>
    <s v="No solicitado"/>
    <s v="Se reemplazada todo cableado dañado. Conectores con desperfectos se remueve y se reemplaza."/>
    <m/>
    <m/>
    <m/>
  </r>
  <r>
    <n v="123"/>
    <x v="6"/>
    <x v="0"/>
    <s v="Mantenimiento preventivo "/>
    <x v="0"/>
    <x v="56"/>
    <x v="0"/>
    <d v="2025-09-11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m/>
    <m/>
    <m/>
    <m/>
    <s v="25273H406098"/>
    <s v="Se realizo el cambio de la sonda multiparametrica actual por una nueva, quedando operativa y en funcionamiento "/>
    <m/>
    <m/>
    <m/>
  </r>
  <r>
    <n v="123"/>
    <x v="6"/>
    <x v="0"/>
    <s v="Mantenimiento preventivo "/>
    <x v="0"/>
    <x v="30"/>
    <x v="0"/>
    <d v="2025-09-11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m/>
    <m/>
    <m/>
    <m/>
    <s v="159367"/>
    <s v="Pozo BN03 queda enviando datos de nivel ok. _x000a_Validación terreno y plataforma ok._x000a_Sin observaciones."/>
    <m/>
    <m/>
    <m/>
  </r>
  <r>
    <n v="123"/>
    <x v="6"/>
    <x v="0"/>
    <s v="Mantenimiento preventivo "/>
    <x v="0"/>
    <x v="22"/>
    <x v="0"/>
    <d v="2025-09-11T00:00:00"/>
    <s v="Superintendencia de recursos hidricos "/>
    <s v="Se procede a reemplazar sonda multiparametrica del punto para llevar a calibración. _x000a_Realizamos cableado nuevo para mejorar la instalación y hacer más eficiente cada vez que se reemplace."/>
    <n v="3"/>
    <m/>
    <m/>
    <m/>
    <m/>
    <m/>
    <m/>
    <m/>
    <m/>
    <s v="N/A"/>
    <s v="Tablero nodo lora inicialmente era configuración 220VAC pero se realiza cambio a energía solar VDC por falta de disponibilidad red eléctrica. Este cambio se realizó al momento de instalación."/>
    <m/>
    <m/>
    <m/>
  </r>
  <r>
    <n v="122"/>
    <x v="2"/>
    <x v="0"/>
    <s v="Integración de sondas y soluciones flowcell "/>
    <x v="16"/>
    <x v="44"/>
    <x v="3"/>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N/A"/>
    <s v="DN: 80"/>
    <m/>
    <m/>
    <m/>
  </r>
  <r>
    <n v="122"/>
    <x v="2"/>
    <x v="0"/>
    <s v="Integración de sondas y soluciones flowcell "/>
    <x v="2"/>
    <x v="32"/>
    <x v="3"/>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m/>
    <m/>
    <m/>
    <m/>
    <m/>
    <m/>
    <s v="Sonda multiparamétrica"/>
    <s v="HL4"/>
    <s v="1262272"/>
    <s v="S/O"/>
    <m/>
    <m/>
    <m/>
  </r>
  <r>
    <n v="122"/>
    <x v="2"/>
    <x v="0"/>
    <s v="Integración de sondas y soluciones flowcell "/>
    <x v="2"/>
    <x v="55"/>
    <x v="3"/>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m/>
    <m/>
    <m/>
    <s v="Sonda multiparamétrica"/>
    <s v="Kase "/>
    <s v="23306373"/>
    <s v="N/A"/>
    <m/>
    <m/>
    <m/>
  </r>
  <r>
    <n v="122"/>
    <x v="2"/>
    <x v="0"/>
    <s v="Integración de sondas y soluciones flowcell "/>
    <x v="16"/>
    <x v="44"/>
    <x v="3"/>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m/>
    <m/>
    <m/>
    <m/>
    <m/>
    <m/>
    <s v="Sonda multiparamétrica"/>
    <s v="…"/>
    <s v="N/A"/>
    <s v="N/A"/>
    <m/>
    <m/>
    <m/>
  </r>
  <r>
    <n v="122"/>
    <x v="2"/>
    <x v="0"/>
    <s v="Integración de sondas y soluciones flowcell "/>
    <x v="16"/>
    <x v="44"/>
    <x v="3"/>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m/>
    <m/>
    <m/>
    <m/>
    <m/>
    <m/>
    <s v="Sonda multiparamétrica"/>
    <s v="…"/>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m/>
    <m/>
    <m/>
  </r>
  <r>
    <n v="126"/>
    <x v="6"/>
    <x v="0"/>
    <s v="Mantenimiento preventivo "/>
    <x v="0"/>
    <x v="22"/>
    <x v="0"/>
    <d v="2025-09-12T00:00:00"/>
    <s v="Superintendencia de recursos hidricos "/>
    <s v="Se configura PLC para dejar leyendo sonda multiparametrica que fue reemplazada."/>
    <n v="3"/>
    <m/>
    <m/>
    <m/>
    <m/>
    <m/>
    <m/>
    <m/>
    <m/>
    <s v="N/A"/>
    <s v="PH de entrada en planta Biodiversa zona 1 esta desconectado del equipo, por ende marca dato erroneo._x000a_En planta Biodiversa vdf ksb pantalla no enciende, voltimetro marca más de 500v puede que el equipo falle lo que provocaría perdida de lecturas modbus."/>
    <m/>
    <m/>
    <m/>
  </r>
  <r>
    <n v="126"/>
    <x v="6"/>
    <x v="0"/>
    <s v="Mantenimiento preventivo "/>
    <x v="0"/>
    <x v="47"/>
    <x v="0"/>
    <d v="2025-09-12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m/>
    <m/>
    <m/>
    <m/>
    <s v="6445F15714530004"/>
    <s v="Punto queda transmitiendo y operativo"/>
    <m/>
    <m/>
    <m/>
  </r>
  <r>
    <n v="126"/>
    <x v="6"/>
    <x v="0"/>
    <s v="Mantenimiento preventivo "/>
    <x v="0"/>
    <x v="47"/>
    <x v="0"/>
    <d v="2025-09-12T00:00:00"/>
    <s v="Superintendencia de recursos hidricos "/>
    <s v="Por solicitud del cliente se realiza levantamiento del sector cachimba veta blanca.  Necesitan autorización del sector y lectura de estados."/>
    <n v="3"/>
    <m/>
    <m/>
    <m/>
    <m/>
    <m/>
    <m/>
    <m/>
    <m/>
    <s v="6445F17824030004"/>
    <s v="Punto ok."/>
    <m/>
    <m/>
    <m/>
  </r>
  <r>
    <n v="125"/>
    <x v="2"/>
    <x v="0"/>
    <s v="Integración sonda multiparametrica  "/>
    <x v="16"/>
    <x v="44"/>
    <x v="3"/>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6445F15707350005"/>
    <s v="Punto transmisión de datos ok."/>
    <m/>
    <m/>
    <m/>
  </r>
  <r>
    <n v="125"/>
    <x v="2"/>
    <x v="0"/>
    <s v="Integración sonda multiparametrica  "/>
    <x v="16"/>
    <x v="44"/>
    <x v="3"/>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m/>
    <m/>
    <m/>
    <m/>
    <m/>
    <m/>
    <s v="Sonda multiparamétrica"/>
    <s v="HL4"/>
    <s v="6445F15534110005"/>
    <s v="Punto con transmisión de datos ok."/>
    <m/>
    <m/>
    <m/>
  </r>
  <r>
    <n v="129"/>
    <x v="0"/>
    <x v="0"/>
    <s v="Registro de instrumentación AAES GH"/>
    <x v="0"/>
    <x v="5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s v="Falta rotular tableros con código qr"/>
    <m/>
    <m/>
    <m/>
  </r>
  <r>
    <n v="129"/>
    <x v="0"/>
    <x v="0"/>
    <s v="Registro de instrumentación AAES GH"/>
    <x v="0"/>
    <x v="5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Se realiza la limpieza de panel fotovoltaico _x000a_No presenta observaciones_x000a_"/>
    <m/>
    <m/>
    <m/>
  </r>
  <r>
    <n v="129"/>
    <x v="0"/>
    <x v="0"/>
    <s v="Registro de instrumentación AAES GH"/>
    <x v="0"/>
    <x v="60"/>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No se presentan observaciones "/>
    <m/>
    <m/>
    <m/>
  </r>
  <r>
    <n v="129"/>
    <x v="0"/>
    <x v="0"/>
    <s v="Registro de instrumentación AAES GH"/>
    <x v="0"/>
    <x v="6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 "/>
    <s v="Se realiza limpieza_x000a_No presenta observaciones "/>
    <m/>
    <m/>
    <m/>
  </r>
  <r>
    <n v="129"/>
    <x v="0"/>
    <x v="0"/>
    <s v="Registro de instrumentación AAES GH"/>
    <x v="0"/>
    <x v="62"/>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m/>
    <m/>
    <m/>
    <m/>
    <s v="V30F882K"/>
    <s v="Reposición pantalla dañada "/>
    <m/>
    <m/>
    <m/>
  </r>
  <r>
    <n v="129"/>
    <x v="0"/>
    <x v="0"/>
    <s v="Registro de instrumentación AAES GH"/>
    <x v="0"/>
    <x v="6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m/>
    <m/>
    <m/>
    <m/>
    <s v="... "/>
    <s v="No presenta observaciones "/>
    <m/>
    <m/>
    <m/>
  </r>
  <r>
    <n v="133"/>
    <x v="8"/>
    <x v="0"/>
    <s v="Integración de sonda, reconocimiento pozo PP31."/>
    <x v="2"/>
    <x v="64"/>
    <x v="3"/>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m/>
    <m/>
    <m/>
    <m/>
    <m/>
    <m/>
    <s v="Sonda multiparamétrica"/>
    <s v="HL4"/>
    <s v="... "/>
    <m/>
    <m/>
    <m/>
    <m/>
  </r>
  <r>
    <n v="132"/>
    <x v="10"/>
    <x v="0"/>
    <s v="Revisión señal caudalimetro"/>
    <x v="19"/>
    <x v="65"/>
    <x v="0"/>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m/>
    <m/>
    <m/>
    <m/>
    <s v="Sin serie "/>
    <s v="Quinta realiza cambio de equipo por lo cual se pierde lectura de datos."/>
    <m/>
    <m/>
    <m/>
  </r>
  <r>
    <n v="130"/>
    <x v="1"/>
    <x v="0"/>
    <s v="Revisión en terreno de impacto de la incidencia de nivel de estanque producto retardo de RC"/>
    <x v="20"/>
    <x v="66"/>
    <x v="0"/>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m/>
    <m/>
    <m/>
    <m/>
    <s v="6445F15531030004"/>
    <s v="Queda pendiente incorporación de lectura de datos de sonda multiparametrica."/>
    <m/>
    <m/>
    <m/>
  </r>
  <r>
    <n v="130"/>
    <x v="1"/>
    <x v="0"/>
    <s v="Revisión en terreno de impacto de la incidencia de nivel de estanque producto retardo de RC"/>
    <x v="20"/>
    <x v="67"/>
    <x v="0"/>
    <d v="2025-09-16T00:00:00"/>
    <s v="Viñas de Chicureo"/>
    <s v="Actualizaciones de dispositivos "/>
    <n v="3"/>
    <m/>
    <m/>
    <m/>
    <m/>
    <m/>
    <m/>
    <m/>
    <m/>
    <s v="6445F15404070000"/>
    <s v="Instalación ok"/>
    <m/>
    <m/>
    <m/>
  </r>
  <r>
    <n v="136"/>
    <x v="2"/>
    <x v="0"/>
    <s v="Integración sonda multiparametrica "/>
    <x v="2"/>
    <x v="64"/>
    <x v="3"/>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m/>
    <m/>
    <m/>
    <m/>
    <m/>
    <m/>
    <s v="Sonda multiparamétrica"/>
    <s v="HL4"/>
    <s v="25090185"/>
    <s v="Equipo queda con su alimentación en 12V pendiente de generar la configuración y puesta en marcha "/>
    <m/>
    <m/>
    <m/>
  </r>
  <r>
    <n v="138"/>
    <x v="6"/>
    <x v="0"/>
    <s v="Levantamiento "/>
    <x v="20"/>
    <x v="66"/>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m/>
    <m/>
    <m/>
    <m/>
    <s v="25273H406101"/>
    <s v="Sonda multiparametrica queda instalada dentro de case, solución para la implantación del fluido de agua y captación de lectura de variables."/>
    <m/>
    <m/>
    <m/>
  </r>
  <r>
    <n v="139"/>
    <x v="3"/>
    <x v="0"/>
    <s v="Precomisamiento zona 2.1 y zona 2.2"/>
    <x v="10"/>
    <x v="68"/>
    <x v="3"/>
    <d v="2025-09-22T00:00:00"/>
    <s v="Gasco RT"/>
    <s v="Día de trabajos administrativos, se realiza el viaje de ida, retiro de materiales en starken, ida a sodimac para Compra de insumos para montaje de Adam's, Compra de insumos básicos para departamento ya que no es hotel."/>
    <n v="3"/>
    <m/>
    <m/>
    <m/>
    <m/>
    <m/>
    <m/>
    <s v="Otro"/>
    <s v="N/A"/>
    <s v="S/N"/>
    <s v="Conector RS485 modbus, "/>
    <m/>
    <m/>
    <m/>
  </r>
  <r>
    <n v="144"/>
    <x v="3"/>
    <x v="0"/>
    <s v="Precom Zona 2.1"/>
    <x v="10"/>
    <x v="68"/>
    <x v="3"/>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m/>
    <m/>
    <m/>
    <m/>
    <m/>
    <m/>
    <s v="Otro"/>
    <s v="Otro"/>
    <s v="No solicitado"/>
    <s v="Se genera la conexión de cable SDI-12 a su sonda multiparametrica, a la espera de generar el fluido para la lectura de las variables "/>
    <m/>
    <m/>
    <m/>
  </r>
  <r>
    <n v="143"/>
    <x v="1"/>
    <x v="0"/>
    <s v="Revisión de conexión pozo 7 "/>
    <x v="21"/>
    <x v="69"/>
    <x v="0"/>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m/>
    <m/>
    <m/>
    <m/>
    <s v="6445F17824030004"/>
    <s v="Implementacion sin novedad."/>
    <m/>
    <m/>
    <m/>
  </r>
  <r>
    <n v="150"/>
    <x v="3"/>
    <x v="0"/>
    <s v="Precomisamiento Zona 2.2"/>
    <x v="10"/>
    <x v="68"/>
    <x v="3"/>
    <d v="2025-09-24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m/>
    <m/>
    <m/>
    <m/>
    <m/>
    <m/>
    <s v="Otro"/>
    <s v="N/A"/>
    <s v="... "/>
    <s v="Tablero de PLC le faltan las tapas de bandejas "/>
    <m/>
    <m/>
    <m/>
  </r>
  <r>
    <n v="148"/>
    <x v="6"/>
    <x v="0"/>
    <m/>
    <x v="0"/>
    <x v="1"/>
    <x v="0"/>
    <d v="2025-09-24T00:00:00"/>
    <s v="Gestión hidrica el soldado "/>
    <s v="Por solicitud del cliente se realiza ajuste de válvula hacia piscina 3800. Dejando un flujo de 20 l/s_x000a_Se realizo además configuración de equipo solar."/>
    <n v="3"/>
    <m/>
    <m/>
    <m/>
    <m/>
    <m/>
    <m/>
    <m/>
    <m/>
    <s v="... "/>
    <s v="... "/>
    <m/>
    <m/>
    <m/>
  </r>
  <r>
    <n v="148"/>
    <x v="6"/>
    <x v="0"/>
    <m/>
    <x v="0"/>
    <x v="40"/>
    <x v="0"/>
    <d v="2025-09-24T00:00:00"/>
    <s v="Gestión hidrica el soldado "/>
    <s v="Por solicitud del cliente se realiza levantamiento en recinto de la matriz que va piscina 3800 desde veta blanca. Para saber si es factible instalación de válvula hacia estero."/>
    <n v="3"/>
    <m/>
    <m/>
    <m/>
    <m/>
    <m/>
    <m/>
    <m/>
    <m/>
    <s v="N/A"/>
    <s v="Se instala estructura y Panel Solar "/>
    <m/>
    <m/>
    <m/>
  </r>
  <r>
    <n v="148"/>
    <x v="6"/>
    <x v="0"/>
    <m/>
    <x v="22"/>
    <x v="70"/>
    <x v="0"/>
    <d v="2025-09-24T00:00:00"/>
    <s v="Gestión hidrica el soldado "/>
    <s v="Por solicitud del cliente se realiza levantamiento en punto de reforestacion para ver lugar adonde instalar caudalimetro, poste y panel solar._x000a_"/>
    <n v="3"/>
    <m/>
    <m/>
    <m/>
    <m/>
    <m/>
    <m/>
    <m/>
    <m/>
    <s v="6445F15413510005"/>
    <s v="Equipo operativo"/>
    <m/>
    <m/>
    <m/>
  </r>
  <r>
    <n v="148"/>
    <x v="6"/>
    <x v="0"/>
    <m/>
    <x v="0"/>
    <x v="49"/>
    <x v="0"/>
    <d v="2025-09-24T00:00:00"/>
    <s v="Gestión hidrica el soldado "/>
    <s v="Se realizo instalación de sonda multiparametrica que pertenece al punto. Esta había sido enviada a calibración. "/>
    <n v="3"/>
    <m/>
    <m/>
    <m/>
    <m/>
    <m/>
    <m/>
    <m/>
    <m/>
    <s v="6445F15571250005"/>
    <s v="Equipos operativos"/>
    <m/>
    <m/>
    <m/>
  </r>
  <r>
    <n v="148"/>
    <x v="6"/>
    <x v="0"/>
    <m/>
    <x v="0"/>
    <x v="52"/>
    <x v="0"/>
    <d v="2025-09-24T00:00:00"/>
    <s v="Gestión hidrica el soldado "/>
    <s v="Se realizo instalación de sonda multiparametrica que pertenece al punto. Esta había sido enviada a calibración. "/>
    <n v="3"/>
    <m/>
    <m/>
    <m/>
    <m/>
    <m/>
    <m/>
    <m/>
    <m/>
    <s v="6445F15730690001"/>
    <s v="Equipos operativos"/>
    <m/>
    <m/>
    <m/>
  </r>
  <r>
    <n v="148"/>
    <x v="6"/>
    <x v="0"/>
    <m/>
    <x v="0"/>
    <x v="50"/>
    <x v="0"/>
    <d v="2025-09-24T00:00:00"/>
    <s v="Gestión hidrica el soldado "/>
    <s v="Se realizo instalación de sonda multiparametrica que pertenece al punto. Esta había sido enviada a calibración. "/>
    <n v="3"/>
    <m/>
    <m/>
    <m/>
    <m/>
    <m/>
    <m/>
    <m/>
    <m/>
    <s v="6445F15537830004 "/>
    <s v="S/O"/>
    <m/>
    <m/>
    <m/>
  </r>
  <r>
    <n v="154"/>
    <x v="2"/>
    <x v="0"/>
    <s v="Integración de sonda multiparametrica HL4"/>
    <x v="2"/>
    <x v="71"/>
    <x v="3"/>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m/>
    <m/>
    <m/>
    <m/>
    <m/>
    <m/>
    <s v="Sonda multiparamétrica"/>
    <s v="HL4"/>
    <s v="6445F17818580005"/>
    <s v="S/O"/>
    <m/>
    <m/>
    <m/>
  </r>
  <r>
    <n v="153"/>
    <x v="6"/>
    <x v="0"/>
    <s v="Mantenimiento preventivo "/>
    <x v="0"/>
    <x v="50"/>
    <x v="0"/>
    <d v="2025-09-25T00:00:00"/>
    <s v="Recursos hidricos el soldado "/>
    <s v="Se realizo canalización pendiente para sonda multiparametrica y sensor de nivel, desde tablero hasta pozo."/>
    <n v="3"/>
    <m/>
    <m/>
    <m/>
    <m/>
    <m/>
    <m/>
    <m/>
    <m/>
    <s v="6445F15t3200001"/>
    <s v="S/O"/>
    <m/>
    <m/>
    <m/>
  </r>
  <r>
    <n v="153"/>
    <x v="6"/>
    <x v="0"/>
    <s v="Mantenimiento preventivo "/>
    <x v="0"/>
    <x v="25"/>
    <x v="0"/>
    <d v="2025-09-25T00:00:00"/>
    <s v="Recursos hidricos el soldado "/>
    <s v="Realizamos instalación de sonda multiparametrica de reemplazo mientras se lleva a calibración la que pertenece al punto."/>
    <n v="3"/>
    <m/>
    <m/>
    <m/>
    <m/>
    <m/>
    <m/>
    <m/>
    <m/>
    <s v="6445F1544603009"/>
    <s v="S/O"/>
    <m/>
    <m/>
    <m/>
  </r>
  <r>
    <n v="153"/>
    <x v="6"/>
    <x v="0"/>
    <s v="Mantenimiento preventivo "/>
    <x v="0"/>
    <x v="26"/>
    <x v="0"/>
    <d v="2025-09-25T00:00:00"/>
    <s v="Recursos hidricos el soldado "/>
    <s v="Realizamos instalación de sonda multiparametrica de reemplazo mientras se lleva a calibración la que pertenece al punto"/>
    <n v="3"/>
    <m/>
    <m/>
    <m/>
    <m/>
    <m/>
    <m/>
    <m/>
    <m/>
    <s v="Sin número de serie "/>
    <s v="Se instala flowcell y mangueras micro tubo._x000a_Luego se configura equipo Sutron y sonda multiparametrica se obtienen lecturas y de contrastan con la plataforma weapp "/>
    <m/>
    <m/>
    <m/>
  </r>
  <r>
    <n v="161"/>
    <x v="2"/>
    <x v="0"/>
    <s v="Solución flowcell momentánea para los recintos P6 y PBM4"/>
    <x v="23"/>
    <x v="72"/>
    <x v="4"/>
    <d v="2025-09-26T00:00:00"/>
    <s v="Patricio Cortez "/>
    <s v="Levantamiento y entrega sonda multiparametrica del Dren MP ya que se encontraba con una de las variables sin mediciones._x000a__x000a_Solución a corto plazo de curación de flowcell "/>
    <n v="5"/>
    <m/>
    <m/>
    <m/>
    <m/>
    <m/>
    <m/>
    <m/>
    <m/>
    <s v="25090179"/>
    <s v="Queda pendiente la integración de soluciones case, sonda multiparametrica y configuración. Además, falta instalación  de llave válvula de bola por empresa quinta. Próxima semana es posible que generen la instalación "/>
    <m/>
    <m/>
    <m/>
  </r>
  <r>
    <n v="155"/>
    <x v="6"/>
    <x v="0"/>
    <s v="Mantenimiento preventivo "/>
    <x v="24"/>
    <x v="73"/>
    <x v="0"/>
    <d v="2025-09-26T00:00:00"/>
    <s v="Gestión hidrica el soldado "/>
    <s v="Se realizo instalación de sonda multiparametrica  provisoria para enviar la del punto a calibración. "/>
    <n v="5"/>
    <m/>
    <m/>
    <m/>
    <m/>
    <m/>
    <m/>
    <m/>
    <m/>
    <s v="No solicitado"/>
    <s v="Queda pendiente la integración de la sonda multiparametrica y generar la configuración de los equipos y comunicación con la plataforma "/>
    <m/>
    <m/>
    <m/>
  </r>
  <r>
    <n v="155"/>
    <x v="6"/>
    <x v="0"/>
    <s v="Mantenimiento preventivo "/>
    <x v="0"/>
    <x v="22"/>
    <x v="0"/>
    <d v="2025-09-26T00:00:00"/>
    <s v="Gestión hidrica el soldado "/>
    <s v="Se recurre al punto a dar solución ya que se encontraba caído. "/>
    <n v="5"/>
    <m/>
    <m/>
    <m/>
    <m/>
    <m/>
    <m/>
    <m/>
    <m/>
    <m/>
    <m/>
    <m/>
    <m/>
    <m/>
  </r>
  <r>
    <n v="162"/>
    <x v="2"/>
    <x v="0"/>
    <s v="Solución momentánea de flowcell "/>
    <x v="23"/>
    <x v="74"/>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m/>
    <m/>
    <m/>
    <m/>
    <m/>
    <m/>
    <m/>
    <m/>
    <m/>
  </r>
  <r>
    <n v="156"/>
    <x v="1"/>
    <x v="0"/>
    <s v="Capacitación etwe "/>
    <x v="25"/>
    <x v="75"/>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m/>
    <m/>
    <m/>
    <m/>
    <m/>
    <m/>
    <m/>
    <m/>
    <m/>
  </r>
  <r>
    <n v="169"/>
    <x v="2"/>
    <x v="0"/>
    <s v="Solución flowcell "/>
    <x v="26"/>
    <x v="74"/>
    <x v="4"/>
    <d v="2025-09-30T00:00:00"/>
    <s v="Patricio Cortez "/>
    <s v="Se crea solución momentánea flowcell, para los recintos PBM4 y P6. "/>
    <n v="5"/>
    <m/>
    <m/>
    <m/>
    <m/>
    <m/>
    <m/>
    <m/>
    <m/>
    <m/>
    <m/>
    <m/>
    <m/>
    <m/>
  </r>
  <r>
    <n v="167"/>
    <x v="2"/>
    <x v="0"/>
    <s v="Creación de soluciones flowcell momentánea "/>
    <x v="27"/>
    <x v="74"/>
    <x v="4"/>
    <d v="2025-09-30T00:00:00"/>
    <s v="Patricio Cortez "/>
    <s v="Se crea solución momentánea flowcell, para los recintos PBM4 y P6. "/>
    <n v="5"/>
    <m/>
    <m/>
    <m/>
    <m/>
    <m/>
    <m/>
    <m/>
    <m/>
    <m/>
    <m/>
    <m/>
    <m/>
    <m/>
  </r>
  <r>
    <n v="164"/>
    <x v="0"/>
    <x v="0"/>
    <s v="Mantención correctiva - Contrastación de valores "/>
    <x v="12"/>
    <x v="36"/>
    <x v="0"/>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m/>
    <m/>
    <m/>
    <m/>
    <m/>
    <m/>
    <m/>
    <m/>
    <m/>
  </r>
  <r>
    <n v="164"/>
    <x v="0"/>
    <x v="0"/>
    <s v="Mantención correctiva - Contrastación de valores "/>
    <x v="12"/>
    <x v="35"/>
    <x v="1"/>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m/>
    <m/>
    <m/>
    <m/>
    <m/>
    <m/>
    <s v="Caudalímetro Ultrasónico"/>
    <s v="Caudalimetro ultrasónico no invasivo"/>
    <m/>
    <m/>
    <m/>
    <m/>
    <m/>
  </r>
  <r>
    <n v="163"/>
    <x v="6"/>
    <x v="0"/>
    <s v="Mantenimiento preventivo "/>
    <x v="0"/>
    <x v="1"/>
    <x v="0"/>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m/>
    <m/>
    <m/>
    <m/>
    <m/>
    <m/>
    <m/>
    <m/>
    <m/>
  </r>
  <r>
    <n v="163"/>
    <x v="6"/>
    <x v="0"/>
    <s v="Mantenimiento preventivo "/>
    <x v="0"/>
    <x v="22"/>
    <x v="0"/>
    <d v="2025-09-30T00:00:00"/>
    <s v="Gestión hidrica el soldado "/>
    <s v="Se revisa que transmisor de pulsos BH TRET no sufra daño por cambio de energía eléctrica a generador._x000a_Nos quedamos en el sector monitoreando."/>
    <n v="5"/>
    <m/>
    <m/>
    <m/>
    <m/>
    <m/>
    <m/>
    <m/>
    <m/>
    <m/>
    <m/>
    <m/>
    <m/>
    <m/>
  </r>
  <r>
    <n v="163"/>
    <x v="6"/>
    <x v="0"/>
    <s v="Mantenimiento preventivo "/>
    <x v="0"/>
    <x v="50"/>
    <x v="0"/>
    <d v="2025-09-30T00:00:00"/>
    <s v="Gestión hidrica el soldado "/>
    <s v="Nos dirigimos al punto para ver el correcto funcionamiento de la estación solar. Revisando carga de baterías."/>
    <n v="5"/>
    <m/>
    <m/>
    <m/>
    <m/>
    <m/>
    <m/>
    <m/>
    <m/>
    <m/>
    <m/>
    <m/>
    <m/>
    <m/>
  </r>
  <r>
    <n v="160"/>
    <x v="1"/>
    <x v="0"/>
    <s v="Capacitacion EtWe SSR Comite El Manzanar "/>
    <x v="28"/>
    <x v="76"/>
    <x v="4"/>
    <d v="2025-09-30T00:00:00"/>
    <s v="Benjamín Castillo"/>
    <s v="Capacitación EtWe"/>
    <n v="5"/>
    <m/>
    <m/>
    <m/>
    <m/>
    <m/>
    <m/>
    <m/>
    <m/>
    <m/>
    <m/>
    <m/>
    <m/>
    <m/>
  </r>
  <r>
    <n v="159"/>
    <x v="1"/>
    <x v="0"/>
    <s v="Capacitacion etwe"/>
    <x v="29"/>
    <x v="77"/>
    <x v="4"/>
    <d v="2025-09-30T00:00:00"/>
    <s v="Lidia Cueto"/>
    <s v="Se realiza capacitacion de plataforma etwe"/>
    <n v="5"/>
    <m/>
    <m/>
    <m/>
    <m/>
    <m/>
    <m/>
    <m/>
    <m/>
    <m/>
    <m/>
    <m/>
    <m/>
    <m/>
  </r>
  <r>
    <n v="158"/>
    <x v="3"/>
    <x v="0"/>
    <s v="Levantamiento "/>
    <x v="19"/>
    <x v="65"/>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m/>
    <m/>
    <m/>
    <m/>
    <m/>
    <m/>
    <m/>
    <m/>
    <m/>
  </r>
  <r>
    <n v="168"/>
    <x v="4"/>
    <x v="0"/>
    <m/>
    <x v="0"/>
    <x v="78"/>
    <x v="4"/>
    <d v="2025-10-01T00:00:00"/>
    <s v="Superintendencia de Recursos Hídricos. "/>
    <s v="Diego Marchant, asiste a curso reglamento tránsito Área Mina en Portezuelo Zona Mina._x000a__x000a_Leonardo Gonzales, realiza curso pendiente en Web-Control."/>
    <n v="5"/>
    <m/>
    <m/>
    <m/>
    <m/>
    <m/>
    <m/>
    <m/>
    <m/>
    <m/>
    <m/>
    <m/>
    <m/>
    <m/>
  </r>
  <r>
    <n v="168"/>
    <x v="4"/>
    <x v="0"/>
    <m/>
    <x v="30"/>
    <x v="79"/>
    <x v="0"/>
    <d v="2025-10-01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m/>
    <m/>
    <m/>
    <m/>
    <m/>
    <m/>
    <m/>
    <m/>
    <m/>
  </r>
  <r>
    <n v="166"/>
    <x v="9"/>
    <x v="0"/>
    <s v="Configuración telemetria y levantamiento"/>
    <x v="2"/>
    <x v="80"/>
    <x v="0"/>
    <d v="2025-10-01T00:00:00"/>
    <s v="Paula Riquelme"/>
    <s v="Se efectua el cambio de pila PLC de P3GB y levantamiento de datos tecnicos de terreno en pozos PBE 1 y 2."/>
    <n v="5"/>
    <m/>
    <m/>
    <m/>
    <m/>
    <m/>
    <m/>
    <m/>
    <m/>
    <m/>
    <m/>
    <m/>
    <m/>
    <m/>
  </r>
  <r>
    <n v="173"/>
    <x v="8"/>
    <x v="0"/>
    <s v="Instalación y pruebas de funcionamiento de Flowcell"/>
    <x v="2"/>
    <x v="55"/>
    <x v="3"/>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m/>
    <m/>
    <m/>
    <m/>
    <m/>
    <m/>
    <s v="Otro"/>
    <s v="Flowcell"/>
    <m/>
    <m/>
    <m/>
    <m/>
    <m/>
  </r>
  <r>
    <n v="172"/>
    <x v="4"/>
    <x v="0"/>
    <m/>
    <x v="0"/>
    <x v="81"/>
    <x v="0"/>
    <d v="2025-10-02T00:00:00"/>
    <s v="Gestión Hídricos el soldado "/>
    <s v="Se realiza visita piscina UG para revisión de trabajos, aumentando nivel para poner a prueba mejoras estructurales en piscina. Ademas, rotulado de herramientas."/>
    <n v="5"/>
    <m/>
    <m/>
    <m/>
    <m/>
    <m/>
    <m/>
    <m/>
    <m/>
    <m/>
    <m/>
    <m/>
    <m/>
    <m/>
  </r>
  <r>
    <n v="172"/>
    <x v="4"/>
    <x v="0"/>
    <m/>
    <x v="0"/>
    <x v="82"/>
    <x v="0"/>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m/>
    <m/>
    <m/>
    <m/>
    <m/>
    <m/>
    <m/>
    <m/>
    <m/>
  </r>
  <r>
    <n v="172"/>
    <x v="4"/>
    <x v="0"/>
    <m/>
    <x v="0"/>
    <x v="1"/>
    <x v="0"/>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m/>
    <m/>
    <m/>
    <m/>
    <m/>
    <m/>
    <m/>
    <m/>
    <m/>
  </r>
  <r>
    <n v="171"/>
    <x v="1"/>
    <x v="0"/>
    <s v="Capacitación etwe "/>
    <x v="31"/>
    <x v="83"/>
    <x v="4"/>
    <d v="2025-10-02T00:00:00"/>
    <s v="Yesenia Romeeo"/>
    <s v="Se realiza capacitacion a operadores y administrativo de ssr los almendros "/>
    <n v="5"/>
    <m/>
    <m/>
    <m/>
    <m/>
    <m/>
    <m/>
    <m/>
    <m/>
    <m/>
    <m/>
    <m/>
    <m/>
    <m/>
  </r>
  <r>
    <n v="175"/>
    <x v="6"/>
    <x v="0"/>
    <s v="Mantenimiento preventivo "/>
    <x v="32"/>
    <x v="84"/>
    <x v="0"/>
    <d v="2025-10-03T00:00:00"/>
    <s v="Gestión hidrica el soldado "/>
    <s v="Por solicitud del cliente se dirge al punto Barrera T4 a revisión de válvula para comprobar que estuviera al 100 %."/>
    <n v="5"/>
    <m/>
    <m/>
    <m/>
    <m/>
    <m/>
    <m/>
    <m/>
    <m/>
    <m/>
    <m/>
    <m/>
    <m/>
    <m/>
  </r>
  <r>
    <n v="175"/>
    <x v="6"/>
    <x v="0"/>
    <s v="Mantenimiento preventivo "/>
    <x v="0"/>
    <x v="85"/>
    <x v="0"/>
    <d v="2025-10-03T00:00:00"/>
    <s v="Gestión hidrica el soldado "/>
    <s v="Se dirige por solicitud del cliente a los puntos Pozos de inyección PI 17 hasta el PI 20. Encontrando válvula del PI 20 pegada, se soluciona y se revisa cada uno que estuviera inyectando "/>
    <n v="5"/>
    <m/>
    <m/>
    <m/>
    <m/>
    <m/>
    <m/>
    <m/>
    <m/>
    <m/>
    <m/>
    <m/>
    <m/>
    <m/>
  </r>
  <r>
    <n v="175"/>
    <x v="6"/>
    <x v="0"/>
    <s v="Mantenimiento preventivo "/>
    <x v="0"/>
    <x v="62"/>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m/>
    <m/>
    <m/>
    <m/>
    <m/>
    <m/>
    <m/>
    <m/>
    <m/>
  </r>
  <r>
    <n v="175"/>
    <x v="6"/>
    <x v="0"/>
    <s v="Mantenimiento preventivo "/>
    <x v="0"/>
    <x v="86"/>
    <x v="0"/>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m/>
    <m/>
    <m/>
    <m/>
    <m/>
    <m/>
    <m/>
    <m/>
    <m/>
  </r>
  <r>
    <n v="178"/>
    <x v="6"/>
    <x v="0"/>
    <s v="Obtener documentación "/>
    <x v="2"/>
    <x v="55"/>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m/>
    <m/>
    <m/>
    <m/>
    <m/>
    <m/>
    <m/>
    <m/>
    <m/>
  </r>
  <r>
    <n v="176"/>
    <x v="0"/>
    <x v="0"/>
    <s v="Gestión hídrica el soldado"/>
    <x v="0"/>
    <x v="62"/>
    <x v="0"/>
    <d v="2025-10-06T00:00:00"/>
    <s v="Superintendencia de recursos hídricos "/>
    <s v="PEM-06: Se realiza inspección para verificar el voltaje en tablero pero no tiene llegada de energía aguas arriba de fuente de poder ni de la protección general."/>
    <n v="5"/>
    <m/>
    <m/>
    <m/>
    <m/>
    <m/>
    <m/>
    <m/>
    <m/>
    <m/>
    <m/>
    <m/>
    <m/>
    <m/>
  </r>
  <r>
    <n v="176"/>
    <x v="0"/>
    <x v="0"/>
    <s v="Gestión hídrica el soldado"/>
    <x v="0"/>
    <x v="86"/>
    <x v="0"/>
    <d v="2025-10-06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m/>
    <m/>
    <m/>
    <m/>
    <m/>
    <m/>
    <m/>
    <m/>
    <m/>
  </r>
  <r>
    <n v="176"/>
    <x v="0"/>
    <x v="0"/>
    <s v="Gestión hídrica el soldado"/>
    <x v="0"/>
    <x v="1"/>
    <x v="0"/>
    <d v="2025-10-06T00:00:00"/>
    <s v="Superintendencia de recursos hídricos "/>
    <s v="Revisión de la instalación y su funcionamiento, no se presentan observaciones."/>
    <n v="5"/>
    <m/>
    <m/>
    <m/>
    <m/>
    <m/>
    <m/>
    <m/>
    <m/>
    <m/>
    <m/>
    <m/>
    <m/>
    <m/>
  </r>
  <r>
    <n v="182"/>
    <x v="8"/>
    <x v="0"/>
    <s v="Instalación flowcell y modificación de estructura"/>
    <x v="2"/>
    <x v="55"/>
    <x v="0"/>
    <d v="2025-10-07T00:00:00"/>
    <s v="Patricio Cortés"/>
    <s v="Se realiza modificación de la estructura donde se ubica el case, instalándose aprox 40cm mas de  altura"/>
    <n v="5"/>
    <m/>
    <m/>
    <m/>
    <m/>
    <m/>
    <m/>
    <m/>
    <m/>
    <m/>
    <m/>
    <m/>
    <m/>
    <m/>
  </r>
  <r>
    <n v="182"/>
    <x v="8"/>
    <x v="0"/>
    <s v="Instalación flowcell y modificación de estructura"/>
    <x v="2"/>
    <x v="87"/>
    <x v="3"/>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m/>
    <m/>
    <m/>
    <m/>
    <m/>
    <m/>
    <s v="Otro"/>
    <s v="Flowcell"/>
    <m/>
    <m/>
    <m/>
    <m/>
    <m/>
  </r>
  <r>
    <n v="180"/>
    <x v="1"/>
    <x v="0"/>
    <s v="Apoyo conexion contactor pozo 2 en falla "/>
    <x v="33"/>
    <x v="88"/>
    <x v="0"/>
    <d v="2025-10-07T00:00:00"/>
    <s v="Ivan rojas "/>
    <s v="Posible falla en la bomba ante pruebas de funcionamiento de nuevo contactor._x000a_ _x000a_Todo el lazo de control opera correctamente mediante sistena we, al igual que los equipos reemplazados."/>
    <n v="5"/>
    <m/>
    <m/>
    <m/>
    <m/>
    <m/>
    <m/>
    <m/>
    <m/>
    <m/>
    <m/>
    <m/>
    <m/>
    <m/>
  </r>
  <r>
    <n v="180"/>
    <x v="1"/>
    <x v="0"/>
    <s v="Apoyo conexion contactor pozo 2 en falla "/>
    <x v="33"/>
    <x v="88"/>
    <x v="1"/>
    <d v="2025-10-07T00:00:00"/>
    <s v="Ivan rojas "/>
    <s v="Posible falla en la bomba ante pruebas de funcionamiento de nuevo contactor._x000a_ _x000a_Todo el lazo de control opera correctamente mediante sistena we, al igual que los equipos reemplazados."/>
    <n v="5"/>
    <m/>
    <m/>
    <m/>
    <m/>
    <m/>
    <m/>
    <s v="Otro"/>
    <s v="Contactor cliente mitsubishi st25"/>
    <m/>
    <m/>
    <m/>
    <m/>
    <m/>
  </r>
  <r>
    <n v="179"/>
    <x v="1"/>
    <x v="0"/>
    <s v="Revisión comunicacion local Lora pozo-estanque "/>
    <x v="28"/>
    <x v="89"/>
    <x v="0"/>
    <d v="2025-10-07T00:00:00"/>
    <s v="Benjamin Castillo"/>
    <s v="Gateway lora en falla "/>
    <n v="5"/>
    <m/>
    <m/>
    <m/>
    <m/>
    <m/>
    <m/>
    <m/>
    <m/>
    <m/>
    <m/>
    <m/>
    <m/>
    <m/>
  </r>
  <r>
    <n v="179"/>
    <x v="1"/>
    <x v="0"/>
    <s v="Revisión comunicacion local Lora pozo-estanque "/>
    <x v="28"/>
    <x v="89"/>
    <x v="1"/>
    <d v="2025-10-07T00:00:00"/>
    <s v="Benjamin Castillo"/>
    <s v="Gateway lora en falla "/>
    <n v="5"/>
    <m/>
    <m/>
    <m/>
    <m/>
    <m/>
    <m/>
    <s v="Otro"/>
    <s v="Ls8 dragino"/>
    <m/>
    <m/>
    <m/>
    <m/>
    <m/>
  </r>
  <r>
    <n v="187"/>
    <x v="4"/>
    <x v="0"/>
    <s v="Solicitudes cliente, ajuste y revision de recintos"/>
    <x v="0"/>
    <x v="90"/>
    <x v="0"/>
    <d v="2025-10-08T00:00:00"/>
    <s v="Superintendencia de Recursos Hídricos. "/>
    <s v="A solicitud de cliente, se realiza ajuste en pozos de inyección logrando aumentar flujo en PI-17-18. Además, se limpian tableros de estación fotovoltaico y paneles. Finalmente, se revisa configuración de inversor."/>
    <n v="5"/>
    <m/>
    <m/>
    <m/>
    <m/>
    <m/>
    <m/>
    <m/>
    <m/>
    <m/>
    <m/>
    <m/>
    <m/>
    <m/>
  </r>
  <r>
    <n v="187"/>
    <x v="4"/>
    <x v="0"/>
    <s v="Solicitudes cliente, ajuste y revision de recintos"/>
    <x v="0"/>
    <x v="1"/>
    <x v="0"/>
    <d v="2025-10-08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m/>
    <m/>
    <m/>
    <m/>
    <m/>
    <m/>
    <m/>
    <m/>
    <m/>
  </r>
  <r>
    <n v="187"/>
    <x v="4"/>
    <x v="0"/>
    <s v="Solicitudes cliente, ajuste y revision de recintos"/>
    <x v="0"/>
    <x v="91"/>
    <x v="0"/>
    <d v="2025-10-08T00:00:00"/>
    <s v="Superintendencia de Recursos Hídricos. "/>
    <s v="Se realiza limpieza panel fotovoltaico, tableros y revisión de recinto en general. Se revisan datos."/>
    <n v="5"/>
    <m/>
    <m/>
    <m/>
    <m/>
    <m/>
    <m/>
    <m/>
    <m/>
    <m/>
    <m/>
    <m/>
    <m/>
    <m/>
  </r>
  <r>
    <n v="187"/>
    <x v="4"/>
    <x v="0"/>
    <s v="Solicitudes cliente, ajuste y revision de recintos"/>
    <x v="0"/>
    <x v="92"/>
    <x v="0"/>
    <d v="2025-10-08T00:00:00"/>
    <s v="Superintendencia de Recursos Hídricos. "/>
    <s v="Se realiza limpieza panel fotovoltaico, tableros y revisión de recinto en general. Se revisan datos."/>
    <n v="5"/>
    <m/>
    <m/>
    <m/>
    <m/>
    <m/>
    <m/>
    <m/>
    <m/>
    <m/>
    <m/>
    <m/>
    <m/>
    <m/>
  </r>
  <r>
    <n v="185"/>
    <x v="3"/>
    <x v="0"/>
    <s v="Incorporación y levantamiento caudalimetro Viña concha y Toro "/>
    <x v="34"/>
    <x v="93"/>
    <x v="3"/>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m/>
    <m/>
    <m/>
    <m/>
    <m/>
    <m/>
    <s v="Tablero"/>
    <s v="We-connect  Lite"/>
    <m/>
    <m/>
    <m/>
    <m/>
    <m/>
  </r>
  <r>
    <n v="184"/>
    <x v="2"/>
    <x v="0"/>
    <s v="Levantamiento técnico con personal ASAP"/>
    <x v="35"/>
    <x v="94"/>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m/>
    <m/>
    <m/>
    <m/>
    <m/>
    <m/>
    <m/>
    <m/>
    <m/>
  </r>
  <r>
    <n v="183"/>
    <x v="1"/>
    <x v="0"/>
    <s v="Revisión operacion plants y equipos de comunicación. Feedback cruzado."/>
    <x v="36"/>
    <x v="95"/>
    <x v="0"/>
    <d v="2025-10-08T00:00:00"/>
    <s v="Cristian Concha"/>
    <s v="Se revisa instalación. Se prueba UPS que se encuentra en correcto estado. _x000a__x000a_Se revisan alarmas de temperatura de VSF Contrastando el valor en terreno._x000a_"/>
    <n v="5"/>
    <m/>
    <m/>
    <m/>
    <m/>
    <m/>
    <m/>
    <m/>
    <m/>
    <m/>
    <m/>
    <m/>
    <m/>
    <m/>
  </r>
  <r>
    <n v="190"/>
    <x v="0"/>
    <x v="0"/>
    <s v="Manutención preventiva - Levantamiento técnico "/>
    <x v="0"/>
    <x v="96"/>
    <x v="0"/>
    <d v="2025-10-09T00:00:00"/>
    <s v="Superintendencia de recursos hídricos "/>
    <s v="Se debe corregir llegada de sonda a pozo ya que baja al pozo a través de la tapa aplastando al cable en vez del encamisado. "/>
    <n v="5"/>
    <n v="1"/>
    <n v="0"/>
    <n v="0"/>
    <n v="1"/>
    <n v="0"/>
    <n v="1"/>
    <m/>
    <m/>
    <m/>
    <m/>
    <m/>
    <m/>
    <m/>
  </r>
  <r>
    <n v="190"/>
    <x v="0"/>
    <x v="0"/>
    <s v="Manutención preventiva - Levantamiento técnico "/>
    <x v="37"/>
    <x v="97"/>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n v="1"/>
    <n v="0"/>
    <n v="0"/>
    <n v="1"/>
    <n v="0"/>
    <n v="1"/>
    <m/>
    <m/>
    <m/>
    <m/>
    <m/>
    <m/>
    <m/>
  </r>
  <r>
    <n v="190"/>
    <x v="0"/>
    <x v="0"/>
    <s v="Manutención preventiva - Levantamiento técnico "/>
    <x v="0"/>
    <x v="98"/>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n v="1"/>
    <n v="0"/>
    <n v="1"/>
    <s v="Tablero"/>
    <s v="Tablero nodo gateway"/>
    <m/>
    <m/>
    <m/>
    <m/>
    <m/>
  </r>
  <r>
    <n v="190"/>
    <x v="0"/>
    <x v="0"/>
    <s v="Manutención preventiva - Levantamiento técnico "/>
    <x v="0"/>
    <x v="98"/>
    <x v="2"/>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n v="1"/>
    <n v="0"/>
    <n v="0"/>
    <n v="1"/>
    <n v="0"/>
    <n v="1"/>
    <s v="Otro"/>
    <s v="Panel fotovoltaico"/>
    <m/>
    <m/>
    <m/>
    <m/>
    <m/>
  </r>
  <r>
    <n v="189"/>
    <x v="3"/>
    <x v="0"/>
    <s v="Levantamiento y implantación de nuevos puntos de monitoreo "/>
    <x v="34"/>
    <x v="93"/>
    <x v="3"/>
    <d v="2025-10-09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n v="1"/>
    <n v="1"/>
    <n v="0"/>
    <n v="0"/>
    <n v="1"/>
    <n v="1"/>
    <s v="Otro"/>
    <s v="N/A"/>
    <m/>
    <m/>
    <m/>
    <m/>
    <m/>
  </r>
  <r>
    <n v="188"/>
    <x v="2"/>
    <x v="0"/>
    <s v="-Desconexión punto Resolución 31._x000a_-Instalación y configuración sonda multiparametrica "/>
    <x v="2"/>
    <x v="7"/>
    <x v="5"/>
    <d v="2025-10-09T00:00:00"/>
    <s v="Patricio Cortes"/>
    <s v="Recinto PMO-08 se genera el retiro de los equipos: Sutron, cable de sonda multiparametrica. Para ser instalados en el recinto PBM4."/>
    <n v="5"/>
    <n v="0"/>
    <n v="0"/>
    <n v="0"/>
    <n v="0"/>
    <n v="0"/>
    <n v="1"/>
    <m/>
    <m/>
    <m/>
    <m/>
    <m/>
    <m/>
    <m/>
  </r>
  <r>
    <n v="188"/>
    <x v="2"/>
    <x v="0"/>
    <s v="-Desconexión punto Resolución 31._x000a_-Instalación y configuración sonda multiparametrica "/>
    <x v="38"/>
    <x v="18"/>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n v="0"/>
    <n v="0"/>
    <n v="0"/>
    <n v="0"/>
    <n v="0"/>
    <n v="1"/>
    <m/>
    <m/>
    <m/>
    <m/>
    <m/>
    <m/>
    <m/>
  </r>
  <r>
    <n v="188"/>
    <x v="2"/>
    <x v="0"/>
    <s v="-Desconexión punto Resolución 31._x000a_-Instalación y configuración sonda multiparametrica "/>
    <x v="2"/>
    <x v="19"/>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n v="0"/>
    <n v="0"/>
    <n v="0"/>
    <n v="0"/>
    <n v="0"/>
    <n v="1"/>
    <m/>
    <m/>
    <m/>
    <m/>
    <m/>
    <m/>
    <m/>
  </r>
  <r>
    <n v="188"/>
    <x v="2"/>
    <x v="0"/>
    <s v="-Desconexión punto Resolución 31._x000a_-Instalación y configuración sonda multiparametrica "/>
    <x v="2"/>
    <x v="51"/>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n v="0"/>
    <n v="0"/>
    <n v="0"/>
    <n v="0"/>
    <n v="0"/>
    <n v="1"/>
    <m/>
    <m/>
    <m/>
    <m/>
    <m/>
    <m/>
    <m/>
  </r>
  <r>
    <n v="188"/>
    <x v="2"/>
    <x v="0"/>
    <s v="-Desconexión punto Resolución 31._x000a_-Instalación y configuración sonda multiparametrica "/>
    <x v="2"/>
    <x v="55"/>
    <x v="5"/>
    <d v="2025-10-09T00:00:00"/>
    <s v="Patricio Cortes"/>
    <s v="Se realiza visita al recinto para llevar a cabo la instalación de la sonda multiparamétrica, su configuración y puesta en marcha. Se confirma la correcta visualización de los datos actualizados en la plataforma."/>
    <n v="5"/>
    <n v="0"/>
    <n v="0"/>
    <n v="0"/>
    <n v="0"/>
    <n v="0"/>
    <n v="1"/>
    <m/>
    <m/>
    <m/>
    <m/>
    <m/>
    <m/>
    <m/>
  </r>
  <r>
    <n v="192"/>
    <x v="4"/>
    <x v="0"/>
    <s v="Trabajo administrativo "/>
    <x v="0"/>
    <x v="25"/>
    <x v="0"/>
    <d v="2025-10-10T00:00:00"/>
    <s v="Gestión hídrica El Soldado"/>
    <s v="Se realiza trabajo administrativo._x000a__x000a_Además, Se vista recinto ya que se obtienen datos con tendencia a infinito, pero al llegar, pozo se encontraba detenido y colaborador de H&amp;A no se encontraba disponible."/>
    <n v="5"/>
    <n v="1"/>
    <n v="1"/>
    <n v="0"/>
    <n v="1"/>
    <n v="0"/>
    <n v="1"/>
    <m/>
    <m/>
    <m/>
    <m/>
    <m/>
    <m/>
    <m/>
  </r>
  <r>
    <n v="191"/>
    <x v="8"/>
    <x v="0"/>
    <s v="Revisión de lectura del instrumento sonda multiparametrica"/>
    <x v="2"/>
    <x v="55"/>
    <x v="0"/>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n v="1"/>
    <n v="1"/>
    <n v="1"/>
    <n v="1"/>
    <n v="1"/>
    <n v="1"/>
    <m/>
    <m/>
    <m/>
    <m/>
    <m/>
    <m/>
    <m/>
  </r>
  <r>
    <n v="191"/>
    <x v="8"/>
    <x v="0"/>
    <s v="Revisión de lectura del instrumento sonda multiparametrica"/>
    <x v="2"/>
    <x v="99"/>
    <x v="0"/>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n v="1"/>
    <n v="1"/>
    <n v="1"/>
    <n v="1"/>
    <n v="1"/>
    <n v="1"/>
    <m/>
    <m/>
    <m/>
    <m/>
    <m/>
    <m/>
    <m/>
  </r>
  <r>
    <n v="191"/>
    <x v="8"/>
    <x v="0"/>
    <s v="Revisión de lectura del instrumento sonda multiparametrica"/>
    <x v="2"/>
    <x v="33"/>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n v="1"/>
    <n v="1"/>
    <n v="1"/>
    <m/>
    <m/>
    <m/>
    <m/>
    <m/>
    <m/>
    <m/>
  </r>
  <r>
    <n v="191"/>
    <x v="8"/>
    <x v="0"/>
    <s v="Revisión de lectura del instrumento sonda multiparametrica"/>
    <x v="2"/>
    <x v="29"/>
    <x v="0"/>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n v="1"/>
    <n v="1"/>
    <n v="1"/>
    <n v="1"/>
    <n v="1"/>
    <n v="1"/>
    <m/>
    <m/>
    <m/>
    <m/>
    <m/>
    <m/>
    <m/>
  </r>
  <r>
    <n v="195"/>
    <x v="3"/>
    <x v="0"/>
    <s v="Instalación levantamiento zonas 1 y 2 Biodiversa Chimbarongo "/>
    <x v="34"/>
    <x v="93"/>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n v="1"/>
    <n v="1"/>
    <n v="1"/>
    <s v="Cableado"/>
    <s v="N-A"/>
    <m/>
    <m/>
    <m/>
    <m/>
    <m/>
  </r>
  <r>
    <n v="195"/>
    <x v="3"/>
    <x v="0"/>
    <s v="Instalación levantamiento zonas 1 y 2 Biodiversa Chimbarongo "/>
    <x v="34"/>
    <x v="93"/>
    <x v="3"/>
    <d v="2025-10-13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n v="1"/>
    <n v="1"/>
    <n v="1"/>
    <n v="1"/>
    <n v="1"/>
    <n v="1"/>
    <s v="Cableado"/>
    <s v="N/A"/>
    <m/>
    <m/>
    <m/>
    <m/>
    <m/>
  </r>
  <r>
    <n v="194"/>
    <x v="2"/>
    <x v="0"/>
    <s v="Desconexión, conexión y configuración "/>
    <x v="2"/>
    <x v="55"/>
    <x v="0"/>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n v="0"/>
    <n v="0"/>
    <n v="0"/>
    <n v="1"/>
    <n v="0"/>
    <n v="1"/>
    <m/>
    <m/>
    <m/>
    <m/>
    <m/>
    <m/>
    <m/>
  </r>
  <r>
    <n v="194"/>
    <x v="2"/>
    <x v="0"/>
    <s v="Desconexión, conexión y configuración "/>
    <x v="39"/>
    <x v="100"/>
    <x v="5"/>
    <d v="2025-10-13T00:00:00"/>
    <s v="Patricio Cortez "/>
    <s v="Se lleva a cabo la verificación de la instalación ejecutada por la empresa ASAP en el recinto PME-9, con el propósito de comprobar el cumplimiento de las normas aplicables y de las condiciones acordadas para el cliente AA."/>
    <n v="5"/>
    <n v="0"/>
    <n v="0"/>
    <n v="0"/>
    <n v="1"/>
    <n v="0"/>
    <n v="1"/>
    <m/>
    <m/>
    <m/>
    <m/>
    <m/>
    <m/>
    <m/>
  </r>
  <r>
    <n v="194"/>
    <x v="2"/>
    <x v="0"/>
    <s v="Desconexión, conexión y configuración "/>
    <x v="23"/>
    <x v="101"/>
    <x v="5"/>
    <d v="2025-10-13T00:00:00"/>
    <s v="Patricio Cortez "/>
    <s v="Se lleva a cabo la verificación de la instalación ejecutada por la empresa ASAP en el recinto PME-8, con el propósito de comprobar el cumplimiento de las normas aplicables y de las condiciones acordadas para el cliente AA."/>
    <n v="5"/>
    <n v="0"/>
    <n v="0"/>
    <n v="0"/>
    <n v="1"/>
    <n v="0"/>
    <n v="1"/>
    <m/>
    <m/>
    <m/>
    <m/>
    <m/>
    <m/>
    <m/>
  </r>
  <r>
    <n v="194"/>
    <x v="2"/>
    <x v="0"/>
    <s v="Desconexión, conexión y configuración "/>
    <x v="2"/>
    <x v="58"/>
    <x v="3"/>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n v="0"/>
    <n v="0"/>
    <n v="0"/>
    <n v="1"/>
    <n v="0"/>
    <n v="1"/>
    <s v="Tablero"/>
    <s v="We Connect solar "/>
    <m/>
    <m/>
    <m/>
    <m/>
    <m/>
  </r>
  <r>
    <n v="193"/>
    <x v="0"/>
    <x v="0"/>
    <s v="Mantenciones preventivas - correctivas  "/>
    <x v="0"/>
    <x v="62"/>
    <x v="1"/>
    <d v="2025-10-13T00:00:00"/>
    <s v="Superintendencia de recursos hídricos "/>
    <s v="Se realiza actualización de pulsos en caudalimetro a través de software toolbox._x000a__x000a_Actualización de tabla Excel por presión en relación a los metros de sensor hidrostático._x000a_"/>
    <n v="5"/>
    <n v="1"/>
    <n v="0"/>
    <n v="0"/>
    <n v="1"/>
    <n v="0"/>
    <n v="1"/>
    <s v="Tablero"/>
    <s v="Tablero UC300"/>
    <m/>
    <m/>
    <m/>
    <m/>
    <m/>
  </r>
  <r>
    <n v="193"/>
    <x v="0"/>
    <x v="0"/>
    <s v="Mantenciones preventivas - correctivas  "/>
    <x v="0"/>
    <x v="8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n v="1"/>
    <n v="0"/>
    <n v="1"/>
    <s v="Sonda multiparamétrica"/>
    <s v="Tripod"/>
    <m/>
    <m/>
    <m/>
    <m/>
    <m/>
  </r>
  <r>
    <n v="193"/>
    <x v="0"/>
    <x v="0"/>
    <s v="Mantenciones preventivas - correctivas  "/>
    <x v="0"/>
    <x v="86"/>
    <x v="1"/>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n v="1"/>
    <n v="0"/>
    <n v="0"/>
    <n v="1"/>
    <n v="0"/>
    <n v="1"/>
    <s v="Otro"/>
    <s v="PLC M221_x000a_TM221CE16T"/>
    <m/>
    <m/>
    <m/>
    <m/>
    <m/>
  </r>
  <r>
    <n v="200"/>
    <x v="3"/>
    <x v="0"/>
    <s v="Incorporación de nueva telemetria "/>
    <x v="40"/>
    <x v="102"/>
    <x v="3"/>
    <d v="2025-10-14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n v="1"/>
    <n v="1"/>
    <n v="1"/>
    <n v="1"/>
    <n v="1"/>
    <n v="1"/>
    <s v="Cableado"/>
    <s v="N-A"/>
    <m/>
    <m/>
    <m/>
    <m/>
    <m/>
  </r>
  <r>
    <n v="199"/>
    <x v="4"/>
    <x v="0"/>
    <s v="Cambio de sondas multiparametricas y revisión de programa PLC."/>
    <x v="0"/>
    <x v="86"/>
    <x v="0"/>
    <d v="2025-10-14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n v="1"/>
    <n v="0"/>
    <n v="0"/>
    <n v="1"/>
    <n v="0"/>
    <n v="1"/>
    <m/>
    <m/>
    <m/>
    <m/>
    <m/>
    <m/>
    <m/>
  </r>
  <r>
    <n v="199"/>
    <x v="4"/>
    <x v="0"/>
    <s v="Cambio de sondas multiparametricas y revisión de programa PLC."/>
    <x v="0"/>
    <x v="56"/>
    <x v="2"/>
    <d v="2025-10-14T00:00:00"/>
    <s v="Superintendencia de Recursos Hídricos. "/>
    <s v="Se realiza cambio de sonda multiparametrica provisoria por calibrada, verificación de funcionamiento programa PLC, UC-300 y plataforma. Se obtiene congruencia en los datos."/>
    <n v="5"/>
    <n v="1"/>
    <n v="0"/>
    <n v="0"/>
    <n v="1"/>
    <n v="0"/>
    <n v="1"/>
    <s v="Sonda multiparamétrica"/>
    <s v="Aqualabo Tripod"/>
    <m/>
    <m/>
    <m/>
    <m/>
    <m/>
  </r>
  <r>
    <n v="199"/>
    <x v="4"/>
    <x v="0"/>
    <s v="Cambio de sondas multiparametricas y revisión de programa PLC."/>
    <x v="0"/>
    <x v="22"/>
    <x v="2"/>
    <d v="2025-10-14T00:00:00"/>
    <s v="Superintendencia de Recursos Hídricos. "/>
    <s v="Se realiza cambio de sonda multiparametrica provisoria por calibrada, verificación de funcionamiento programa PLC, UC-300 y plataforma. Se obtiene congruencia en los datos."/>
    <n v="5"/>
    <n v="1"/>
    <n v="0"/>
    <n v="0"/>
    <n v="1"/>
    <n v="0"/>
    <n v="1"/>
    <s v="Sonda multiparamétrica"/>
    <s v="Aqualabo Tripod"/>
    <m/>
    <m/>
    <m/>
    <m/>
    <m/>
  </r>
  <r>
    <n v="198"/>
    <x v="11"/>
    <x v="0"/>
    <s v="Levantamiento terreno y coordinacion de futuros trabajos Mantos Blancos"/>
    <x v="41"/>
    <x v="103"/>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4"/>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5"/>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6"/>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7"/>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8"/>
    <x v="11"/>
    <x v="0"/>
    <s v="Levantamiento terreno y coordinacion de futuros trabajos Mantos Blancos"/>
    <x v="41"/>
    <x v="108"/>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n v="1"/>
    <n v="1"/>
    <n v="1"/>
    <n v="1"/>
    <n v="1"/>
    <n v="1"/>
    <m/>
    <m/>
    <m/>
    <m/>
    <m/>
    <m/>
    <m/>
  </r>
  <r>
    <n v="196"/>
    <x v="2"/>
    <x v="0"/>
    <s v="Desconexión, instalación y configuración "/>
    <x v="2"/>
    <x v="109"/>
    <x v="0"/>
    <d v="2025-10-14T00:00:00"/>
    <s v="Patricio Cortez "/>
    <s v="Se realiza apertura del cierre perimetral con el fin de que la gente por la empresa ASAP pueda generar los trabajos de traslado de tableros, antenas, caja registros, poste y paneles solares."/>
    <n v="5"/>
    <n v="0"/>
    <n v="0"/>
    <n v="0"/>
    <n v="1"/>
    <n v="0"/>
    <n v="1"/>
    <m/>
    <m/>
    <m/>
    <m/>
    <m/>
    <m/>
    <m/>
  </r>
  <r>
    <n v="196"/>
    <x v="2"/>
    <x v="0"/>
    <s v="Desconexión, instalación y configuración "/>
    <x v="42"/>
    <x v="110"/>
    <x v="0"/>
    <d v="2025-10-14T00:00:00"/>
    <s v="Patricio Cortez "/>
    <s v="Se realiza apertura del cierre perimetral con el fin de que la gente por la empresa ASAP pueda generar los trabajos de traslado de tableros, antenas, caja registros, poste y paneles solares._x000a_Para poder ser instaladas."/>
    <n v="5"/>
    <n v="0"/>
    <n v="0"/>
    <n v="0"/>
    <n v="1"/>
    <n v="0"/>
    <n v="1"/>
    <m/>
    <m/>
    <m/>
    <m/>
    <m/>
    <m/>
    <m/>
  </r>
  <r>
    <n v="196"/>
    <x v="2"/>
    <x v="0"/>
    <s v="Desconexión, instalación y configuración "/>
    <x v="39"/>
    <x v="111"/>
    <x v="0"/>
    <d v="2025-10-14T00:00:00"/>
    <s v="Patricio Cortez "/>
    <s v="Se realiza instalación de candado en cierre perimetral para generar resguardar y protección con a los tableros instalados."/>
    <n v="5"/>
    <n v="0"/>
    <n v="0"/>
    <n v="0"/>
    <n v="1"/>
    <n v="0"/>
    <n v="1"/>
    <m/>
    <m/>
    <m/>
    <m/>
    <m/>
    <m/>
    <m/>
  </r>
  <r>
    <n v="196"/>
    <x v="2"/>
    <x v="0"/>
    <s v="Desconexión, instalación y configuración "/>
    <x v="23"/>
    <x v="112"/>
    <x v="0"/>
    <d v="2025-10-14T00:00:00"/>
    <s v="Patricio Cortez "/>
    <s v="Se realiza instalación de candado en cierre perimetral para generar resguardar y protección con a los tableros instalados."/>
    <n v="5"/>
    <n v="0"/>
    <n v="0"/>
    <n v="0"/>
    <n v="1"/>
    <n v="0"/>
    <n v="1"/>
    <m/>
    <m/>
    <m/>
    <m/>
    <m/>
    <m/>
    <m/>
  </r>
  <r>
    <n v="205"/>
    <x v="4"/>
    <x v="0"/>
    <s v="Soporte terreno y cambio de sondas "/>
    <x v="13"/>
    <x v="38"/>
    <x v="0"/>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n v="1"/>
    <n v="0"/>
    <n v="1"/>
    <m/>
    <m/>
    <m/>
    <m/>
    <m/>
    <m/>
    <m/>
  </r>
  <r>
    <n v="205"/>
    <x v="4"/>
    <x v="0"/>
    <s v="Soporte terreno y cambio de sondas "/>
    <x v="13"/>
    <x v="38"/>
    <x v="4"/>
    <d v="2025-10-15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n v="1"/>
    <n v="0"/>
    <n v="0"/>
    <n v="1"/>
    <n v="0"/>
    <n v="1"/>
    <m/>
    <m/>
    <m/>
    <m/>
    <m/>
    <m/>
    <m/>
  </r>
  <r>
    <n v="205"/>
    <x v="4"/>
    <x v="0"/>
    <s v="Soporte terreno y cambio de sondas "/>
    <x v="0"/>
    <x v="86"/>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n v="1"/>
    <n v="0"/>
    <n v="1"/>
    <s v="Sonda multiparamétrica"/>
    <s v="Aqualabo Tripod"/>
    <m/>
    <m/>
    <m/>
    <m/>
    <m/>
  </r>
  <r>
    <n v="205"/>
    <x v="4"/>
    <x v="0"/>
    <s v="Soporte terreno y cambio de sondas "/>
    <x v="0"/>
    <x v="59"/>
    <x v="2"/>
    <d v="2025-10-15T00:00:00"/>
    <s v="Superintendencia de Recursos Hídricos. "/>
    <s v="Se realiza cambio de sonda multiparametrica existente por provisoria para poder llevar la sonda existente a calibrar, verificación de funcionamiento programa PLC, UC-300 y plataforma. Se obtiene congruencia en los datos."/>
    <n v="5"/>
    <n v="1"/>
    <n v="0"/>
    <n v="0"/>
    <n v="1"/>
    <n v="0"/>
    <n v="1"/>
    <s v="Sonda multiparamétrica"/>
    <s v="Aqualabo Tripod"/>
    <m/>
    <m/>
    <m/>
    <m/>
    <m/>
  </r>
  <r>
    <n v="204"/>
    <x v="3"/>
    <x v="0"/>
    <s v="Integración señales y canalizaciones en Biodiversa "/>
    <x v="34"/>
    <x v="93"/>
    <x v="3"/>
    <d v="2025-10-15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n v="1"/>
    <n v="1"/>
    <n v="1"/>
    <n v="1"/>
    <n v="1"/>
    <n v="1"/>
    <s v="Cableado"/>
    <s v="N-A"/>
    <m/>
    <m/>
    <m/>
    <m/>
    <m/>
  </r>
  <r>
    <n v="202"/>
    <x v="2"/>
    <x v="0"/>
    <s v="Entrega de materiales _x000a_Conexión de los puntos trasladados _x000a_"/>
    <x v="23"/>
    <x v="113"/>
    <x v="0"/>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n v="0"/>
    <n v="0"/>
    <n v="0"/>
    <n v="1"/>
    <n v="0"/>
    <n v="1"/>
    <m/>
    <m/>
    <m/>
    <m/>
    <m/>
    <m/>
    <m/>
  </r>
  <r>
    <n v="202"/>
    <x v="2"/>
    <x v="0"/>
    <s v="Entrega de materiales _x000a_Conexión de los puntos trasladados _x000a_"/>
    <x v="43"/>
    <x v="114"/>
    <x v="3"/>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n v="0"/>
    <n v="0"/>
    <n v="0"/>
    <n v="1"/>
    <n v="0"/>
    <n v="1"/>
    <s v="Cableado"/>
    <s v="…"/>
    <m/>
    <m/>
    <m/>
    <m/>
    <m/>
  </r>
  <r>
    <n v="202"/>
    <x v="2"/>
    <x v="0"/>
    <s v="Entrega de materiales _x000a_Conexión de los puntos trasladados _x000a_"/>
    <x v="39"/>
    <x v="112"/>
    <x v="3"/>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n v="0"/>
    <n v="0"/>
    <n v="0"/>
    <n v="1"/>
    <n v="0"/>
    <n v="1"/>
    <s v="Cableado"/>
    <s v="…"/>
    <m/>
    <m/>
    <m/>
    <m/>
    <m/>
  </r>
  <r>
    <n v="202"/>
    <x v="2"/>
    <x v="0"/>
    <s v="Entrega de materiales _x000a_Conexión de los puntos trasladados _x000a_"/>
    <x v="23"/>
    <x v="111"/>
    <x v="3"/>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n v="0"/>
    <n v="0"/>
    <n v="0"/>
    <n v="1"/>
    <n v="0"/>
    <n v="1"/>
    <s v="Cableado"/>
    <s v="…"/>
    <m/>
    <m/>
    <m/>
    <m/>
    <m/>
  </r>
  <r>
    <n v="201"/>
    <x v="1"/>
    <x v="0"/>
    <s v="Recolección y contratación de datos caudalimetros pozo 14 y 23."/>
    <x v="1"/>
    <x v="115"/>
    <x v="0"/>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n v="1"/>
    <n v="1"/>
    <n v="1"/>
    <m/>
    <m/>
    <m/>
    <m/>
    <m/>
    <m/>
    <m/>
  </r>
  <r>
    <n v="201"/>
    <x v="1"/>
    <x v="0"/>
    <s v="Recolección y contratación de datos caudalimetros pozo 14 y 23."/>
    <x v="1"/>
    <x v="116"/>
    <x v="0"/>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n v="1"/>
    <n v="1"/>
    <n v="1"/>
    <m/>
    <m/>
    <m/>
    <m/>
    <m/>
    <m/>
    <m/>
  </r>
  <r>
    <n v="201"/>
    <x v="1"/>
    <x v="0"/>
    <s v="Recolección y contratación de datos caudalimetros pozo 14 y 23."/>
    <x v="1"/>
    <x v="115"/>
    <x v="1"/>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n v="1"/>
    <n v="1"/>
    <n v="1"/>
    <n v="1"/>
    <n v="1"/>
    <n v="1"/>
    <s v="Caudalímetro Electromagnético"/>
    <s v="MJK Xylem"/>
    <m/>
    <m/>
    <m/>
    <m/>
    <m/>
  </r>
  <r>
    <n v="201"/>
    <x v="1"/>
    <x v="0"/>
    <s v="Recolección y contratación de datos caudalimetros pozo 14 y 23."/>
    <x v="1"/>
    <x v="116"/>
    <x v="2"/>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n v="1"/>
    <n v="1"/>
    <n v="1"/>
    <n v="1"/>
    <n v="1"/>
    <n v="1"/>
    <s v="Caudalímetro Electromagnético"/>
    <s v="MJK Xylem"/>
    <m/>
    <m/>
    <m/>
    <m/>
    <m/>
  </r>
  <r>
    <n v="209"/>
    <x v="3"/>
    <x v="0"/>
    <s v="Incorporación de variables y control Biodiversa "/>
    <x v="34"/>
    <x v="93"/>
    <x v="3"/>
    <d v="2025-10-16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n v="1"/>
    <n v="1"/>
    <n v="1"/>
    <n v="1"/>
    <n v="1"/>
    <n v="1"/>
    <s v="Cableado"/>
    <s v="N-A"/>
    <m/>
    <m/>
    <m/>
    <m/>
    <m/>
  </r>
  <r>
    <n v="207"/>
    <x v="2"/>
    <x v="0"/>
    <s v="Reconocimiento de recintos junto al personal de la empresa ASAP._x000a_Retiro de cable sonda multiparametrica "/>
    <x v="39"/>
    <x v="117"/>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n v="0"/>
    <n v="0"/>
    <n v="0"/>
    <n v="1"/>
    <n v="0"/>
    <n v="1"/>
    <m/>
    <m/>
    <m/>
    <m/>
    <m/>
    <m/>
    <m/>
  </r>
  <r>
    <n v="207"/>
    <x v="2"/>
    <x v="0"/>
    <s v="Reconocimiento de recintos junto al personal de la empresa ASAP._x000a_Retiro de cable sonda multiparametrica "/>
    <x v="2"/>
    <x v="71"/>
    <x v="3"/>
    <d v="2025-10-16T00:00:00"/>
    <s v="Patricio Cortes "/>
    <s v="En el recinto Dren Muro Principal se realizó el retiro del cable de la sonda multiparamétrica, con el fin de instalarlo posteriormente en el recinto P6._x000a_"/>
    <n v="5"/>
    <n v="0"/>
    <n v="0"/>
    <n v="0"/>
    <n v="1"/>
    <n v="0"/>
    <n v="1"/>
    <s v="Otro"/>
    <s v="…"/>
    <m/>
    <m/>
    <m/>
    <m/>
    <m/>
  </r>
  <r>
    <n v="206"/>
    <x v="1"/>
    <x v="0"/>
    <s v="Retiro de pantalla de sala de control producto de falla "/>
    <x v="44"/>
    <x v="118"/>
    <x v="0"/>
    <d v="2025-10-16T00:00:00"/>
    <s v="Hernan Rojas "/>
    <s v="Se retiran equipos en falla de la sala de control y no se deja pantallas backup debido a que el computador de la sala no permite mas conexión de pantallas mediante HDMI"/>
    <n v="5"/>
    <n v="1"/>
    <n v="1"/>
    <n v="1"/>
    <n v="1"/>
    <n v="1"/>
    <n v="1"/>
    <m/>
    <m/>
    <m/>
    <m/>
    <m/>
    <m/>
    <m/>
  </r>
  <r>
    <n v="206"/>
    <x v="1"/>
    <x v="0"/>
    <s v="Retiro de pantalla de sala de control producto de falla "/>
    <x v="44"/>
    <x v="118"/>
    <x v="6"/>
    <d v="2025-10-16T00:00:00"/>
    <s v="Hernan Rojas "/>
    <s v="Se retiran equipos en falla de la sala de control y no se deja pantallas backup debido a que el computador de la sala no permite mas conexión de pantallas mediante HDMI"/>
    <n v="5"/>
    <n v="1"/>
    <n v="1"/>
    <n v="1"/>
    <n v="1"/>
    <n v="1"/>
    <n v="1"/>
    <m/>
    <m/>
    <m/>
    <m/>
    <m/>
    <m/>
    <m/>
  </r>
  <r>
    <n v="214"/>
    <x v="1"/>
    <x v="0"/>
    <s v="Revisión de comunicación MODBuS RTU  planta PSR Danone entre correcto de flujos y sistema de monitoreo o PLC de planta "/>
    <x v="45"/>
    <x v="119"/>
    <x v="0"/>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n v="1"/>
    <n v="1"/>
    <n v="1"/>
    <n v="1"/>
    <n v="1"/>
    <n v="1"/>
    <m/>
    <m/>
    <m/>
    <m/>
    <m/>
    <m/>
    <m/>
  </r>
  <r>
    <n v="213"/>
    <x v="4"/>
    <x v="0"/>
    <s v="Trabajo administrativo "/>
    <x v="0"/>
    <x v="120"/>
    <x v="0"/>
    <d v="2025-10-17T00:00:00"/>
    <s v="Superintendencia de recursos Hídricos "/>
    <s v="Trabajo administrativo."/>
    <n v="5"/>
    <n v="1"/>
    <n v="1"/>
    <n v="1"/>
    <n v="1"/>
    <n v="0"/>
    <n v="1"/>
    <m/>
    <m/>
    <m/>
    <m/>
    <m/>
    <m/>
    <m/>
  </r>
  <r>
    <n v="212"/>
    <x v="3"/>
    <x v="0"/>
    <s v="Incorporación de nuevos variables y control Biodiversa "/>
    <x v="34"/>
    <x v="93"/>
    <x v="3"/>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n v="1"/>
    <n v="1"/>
    <n v="1"/>
    <n v="1"/>
    <n v="1"/>
    <n v="1"/>
    <s v="Cableado"/>
    <s v="N-A"/>
    <m/>
    <m/>
    <m/>
    <m/>
    <m/>
  </r>
  <r>
    <n v="210"/>
    <x v="2"/>
    <x v="0"/>
    <s v="Instalación y configuración de sonda multiparametrica._x000a_"/>
    <x v="16"/>
    <x v="44"/>
    <x v="3"/>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n v="0"/>
    <n v="0"/>
    <n v="0"/>
    <n v="1"/>
    <n v="0"/>
    <n v="1"/>
    <s v="Sonda multiparamétrica"/>
    <s v="Sonda HL4"/>
    <m/>
    <m/>
    <m/>
    <m/>
    <m/>
  </r>
  <r>
    <n v="217"/>
    <x v="6"/>
    <x v="0"/>
    <s v="Mantenimiento preventivo "/>
    <x v="0"/>
    <x v="85"/>
    <x v="0"/>
    <d v="2025-10-20T00:00:00"/>
    <s v="Gestión hidrica el soldado (Nicolas Valenzuela)"/>
    <s v="Se realizo ajustes en caudal barrera hidráulica además ajuste en válvula ya que se encontraba pegada."/>
    <n v="5"/>
    <n v="1"/>
    <n v="1"/>
    <n v="0"/>
    <n v="0"/>
    <n v="0"/>
    <n v="1"/>
    <m/>
    <m/>
    <m/>
    <m/>
    <m/>
    <m/>
    <m/>
  </r>
  <r>
    <n v="217"/>
    <x v="6"/>
    <x v="0"/>
    <s v="Mantenimiento preventivo "/>
    <x v="0"/>
    <x v="2"/>
    <x v="0"/>
    <d v="2025-10-20T00:00:00"/>
    <s v="Gestión hidrica el soldado (Nicolas Valenzuela)"/>
    <s v="Se realizo inspección visual al punto para cerciorarse qué estuviera en correcto funcionamiento. "/>
    <n v="5"/>
    <n v="1"/>
    <n v="1"/>
    <n v="0"/>
    <n v="0"/>
    <n v="0"/>
    <n v="1"/>
    <m/>
    <m/>
    <m/>
    <m/>
    <m/>
    <m/>
    <m/>
  </r>
  <r>
    <n v="217"/>
    <x v="6"/>
    <x v="0"/>
    <s v="Mantenimiento preventivo "/>
    <x v="0"/>
    <x v="3"/>
    <x v="0"/>
    <d v="2025-10-20T00:00:00"/>
    <s v="Gestión hidrica el soldado (Nicolas Valenzuela)"/>
    <s v="Se realizo inspección visual al punto para cerciorarse qué estuviera en correcto funcionamiento. "/>
    <n v="5"/>
    <n v="1"/>
    <n v="1"/>
    <n v="0"/>
    <n v="0"/>
    <n v="0"/>
    <n v="1"/>
    <m/>
    <m/>
    <m/>
    <m/>
    <m/>
    <m/>
    <m/>
  </r>
  <r>
    <n v="217"/>
    <x v="6"/>
    <x v="0"/>
    <s v="Mantenimiento preventivo "/>
    <x v="0"/>
    <x v="121"/>
    <x v="0"/>
    <d v="2025-10-20T00:00:00"/>
    <s v="Gestión hidrica el soldado (Nicolas Valenzuela)"/>
    <s v="Se realizo inspección visual al punto para cerciorarse qué estuviera en correcto funcionamiento. _x000a_Además se ajusta válvula."/>
    <n v="5"/>
    <n v="1"/>
    <n v="1"/>
    <n v="0"/>
    <n v="0"/>
    <n v="0"/>
    <n v="1"/>
    <m/>
    <m/>
    <m/>
    <m/>
    <m/>
    <m/>
    <m/>
  </r>
  <r>
    <n v="217"/>
    <x v="6"/>
    <x v="0"/>
    <s v="Mantenimiento preventivo "/>
    <x v="0"/>
    <x v="27"/>
    <x v="0"/>
    <d v="2025-10-20T00:00:00"/>
    <s v="Gestión hidrica el soldado (Nicolas Valenzuela)"/>
    <s v="Revisión visual del punto, y Revisión en la plataforma el correcto funcionamiento. "/>
    <n v="5"/>
    <n v="1"/>
    <n v="1"/>
    <n v="0"/>
    <n v="0"/>
    <n v="0"/>
    <n v="1"/>
    <m/>
    <m/>
    <m/>
    <m/>
    <m/>
    <m/>
    <m/>
  </r>
  <r>
    <n v="217"/>
    <x v="6"/>
    <x v="0"/>
    <s v="Mantenimiento preventivo "/>
    <x v="0"/>
    <x v="86"/>
    <x v="0"/>
    <d v="2025-10-20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n v="1"/>
    <n v="1"/>
    <n v="0"/>
    <n v="0"/>
    <n v="0"/>
    <n v="1"/>
    <m/>
    <m/>
    <m/>
    <m/>
    <m/>
    <m/>
    <m/>
  </r>
  <r>
    <n v="216"/>
    <x v="3"/>
    <x v="0"/>
    <s v="Integración de nuevas variables, levantamiento de terreno con Emir, informe de adicionales"/>
    <x v="34"/>
    <x v="93"/>
    <x v="5"/>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n v="1"/>
    <n v="1"/>
    <n v="1"/>
    <m/>
    <m/>
    <m/>
    <m/>
    <m/>
    <m/>
    <m/>
  </r>
  <r>
    <n v="216"/>
    <x v="3"/>
    <x v="0"/>
    <s v="Integración de nuevas variables, levantamiento de terreno con Emir, informe de adicionales"/>
    <x v="34"/>
    <x v="93"/>
    <x v="3"/>
    <d v="2025-10-20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n v="1"/>
    <n v="1"/>
    <n v="1"/>
    <n v="1"/>
    <n v="1"/>
    <n v="1"/>
    <s v="Otro"/>
    <s v="N-A"/>
    <m/>
    <m/>
    <m/>
    <m/>
    <m/>
  </r>
  <r>
    <n v="220"/>
    <x v="3"/>
    <x v="0"/>
    <s v="Integración de variables y control"/>
    <x v="34"/>
    <x v="93"/>
    <x v="3"/>
    <d v="2025-10-21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n v="1"/>
    <n v="1"/>
    <n v="1"/>
    <n v="1"/>
    <n v="1"/>
    <n v="1"/>
    <s v="Otro"/>
    <s v="N-A"/>
    <m/>
    <m/>
    <m/>
    <m/>
    <m/>
  </r>
  <r>
    <n v="219"/>
    <x v="6"/>
    <x v="0"/>
    <s v="Mantenimiento preventivo "/>
    <x v="0"/>
    <x v="122"/>
    <x v="0"/>
    <d v="2025-10-21T00:00:00"/>
    <s v="Gestión hidrica el soldado (Nicolas Valenzuela)"/>
    <s v="Punto de monitoreo se encontraba sin transmitir datos. Se realizo reinicio del sistema quedando ok."/>
    <n v="5"/>
    <n v="1"/>
    <n v="1"/>
    <n v="0"/>
    <n v="0"/>
    <n v="0"/>
    <n v="1"/>
    <m/>
    <m/>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m/>
    <m/>
    <m/>
  </r>
  <r>
    <n v="219"/>
    <x v="6"/>
    <x v="0"/>
    <s v="Mantenimiento preventivo "/>
    <x v="46"/>
    <x v="123"/>
    <x v="0"/>
    <d v="2025-10-21T00:00:00"/>
    <s v="Gestión hidrica el soldado (Nicolas Valenzuela)"/>
    <s v="Después del traslado de bodega, se produjo caída de elementos de las repisas._x000a_Procedemos a realizar orden de Materiales, y limpieza de la bodega."/>
    <n v="5"/>
    <n v="1"/>
    <n v="1"/>
    <n v="0"/>
    <n v="0"/>
    <n v="0"/>
    <n v="1"/>
    <m/>
    <m/>
    <s v="Certificado: MC-21189Q"/>
    <m/>
    <m/>
    <m/>
    <m/>
  </r>
  <r>
    <n v="219"/>
    <x v="6"/>
    <x v="0"/>
    <s v="Mantenimiento preventivo "/>
    <x v="0"/>
    <x v="98"/>
    <x v="0"/>
    <d v="2025-10-21T00:00:00"/>
    <s v="Gestión hidrica el soldado (Nicolas Valenzuela)"/>
    <s v="Procedemos a ir al punto después de aviso que no se estaba transmitiendo datos, se da reinicio al sistema quedando ok._x000a_Mañana se procederá a realizar ronda por demás pozos de monitoreo._x000a_"/>
    <n v="5"/>
    <n v="1"/>
    <n v="1"/>
    <n v="0"/>
    <n v="0"/>
    <n v="0"/>
    <n v="1"/>
    <m/>
    <m/>
    <s v="Certificado: MC-21188Q"/>
    <s v="Sonda en estación reelevadora "/>
    <m/>
    <m/>
    <m/>
  </r>
  <r>
    <n v="219"/>
    <x v="6"/>
    <x v="0"/>
    <s v="Mantenimiento preventivo "/>
    <x v="0"/>
    <x v="86"/>
    <x v="0"/>
    <d v="2025-10-21T00:00:00"/>
    <s v="Gestión hidrica el soldado (Nicolas Valenzuela)"/>
    <s v="Se realizo ajustes en programación, ya que el sistema no estaba actualizando datos. _x000a_Quedó transmitiendo ok."/>
    <n v="5"/>
    <n v="1"/>
    <n v="1"/>
    <n v="0"/>
    <n v="0"/>
    <n v="0"/>
    <n v="1"/>
    <m/>
    <m/>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m/>
    <m/>
    <m/>
  </r>
  <r>
    <n v="224"/>
    <x v="3"/>
    <x v="0"/>
    <s v="Incorporación de variables"/>
    <x v="34"/>
    <x v="93"/>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n v="1"/>
    <n v="1"/>
    <n v="1"/>
    <m/>
    <m/>
    <s v="Bwysjwkaijwsbhwu"/>
    <s v="..."/>
    <m/>
    <m/>
    <m/>
  </r>
  <r>
    <n v="224"/>
    <x v="3"/>
    <x v="0"/>
    <s v="Incorporación de variables"/>
    <x v="34"/>
    <x v="93"/>
    <x v="3"/>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n v="1"/>
    <n v="1"/>
    <n v="1"/>
    <n v="1"/>
    <n v="1"/>
    <n v="1"/>
    <s v="Otro"/>
    <s v="N-A"/>
    <s v="Qyayhqhqqj"/>
    <s v="..."/>
    <m/>
    <m/>
    <m/>
  </r>
  <r>
    <n v="223"/>
    <x v="6"/>
    <x v="0"/>
    <s v="Mantenimiento preventivo "/>
    <x v="46"/>
    <x v="124"/>
    <x v="0"/>
    <d v="2025-10-22T00:00:00"/>
    <s v="Gestión hidrica el soldado (Nicolas Valenzuela)"/>
    <s v="Realizamos inspección visual del nivel piscina, además revisamos el rebalse hacia el estero."/>
    <n v="5"/>
    <n v="1"/>
    <n v="1"/>
    <n v="0"/>
    <n v="0"/>
    <n v="1"/>
    <n v="1"/>
    <m/>
    <m/>
    <s v="No solicitado"/>
    <s v="…_x000a_"/>
    <m/>
    <m/>
    <m/>
  </r>
  <r>
    <n v="223"/>
    <x v="6"/>
    <x v="0"/>
    <s v="Mantenimiento preventivo "/>
    <x v="46"/>
    <x v="125"/>
    <x v="0"/>
    <d v="2025-10-22T00:00:00"/>
    <s v="Gestión hidrica el soldado (Nicolas Valenzuela)"/>
    <s v="Realizamos el corte de flujo hacia túnel sur,dejando el 100%a túnel norte asegurando rebose desde piscina UG hacia piscina 4000 y 3800."/>
    <n v="5"/>
    <n v="1"/>
    <n v="1"/>
    <n v="0"/>
    <n v="0"/>
    <n v="1"/>
    <n v="1"/>
    <m/>
    <m/>
    <s v="No solicitado"/>
    <s v="…_x000a_"/>
    <m/>
    <m/>
    <m/>
  </r>
  <r>
    <n v="223"/>
    <x v="6"/>
    <x v="0"/>
    <s v="Mantenimiento preventivo "/>
    <x v="0"/>
    <x v="126"/>
    <x v="0"/>
    <d v="2025-10-22T00:00:00"/>
    <s v="Gestión hidrica el soldado (Nicolas Valenzuela)"/>
    <s v="Fuimos al punto ya que no está transmitiendo datos. Nos encontramos con que no hay red eléctrica,  se desconoce el por que."/>
    <n v="5"/>
    <n v="1"/>
    <n v="1"/>
    <n v="0"/>
    <n v="0"/>
    <n v="1"/>
    <n v="1"/>
    <m/>
    <m/>
    <s v="No solicitado"/>
    <s v="…"/>
    <m/>
    <m/>
    <m/>
  </r>
  <r>
    <n v="223"/>
    <x v="6"/>
    <x v="0"/>
    <s v="Mantenimiento preventivo "/>
    <x v="46"/>
    <x v="127"/>
    <x v="0"/>
    <d v="2025-10-22T00:00:00"/>
    <s v="Gestión hidrica el soldado (Nicolas Valenzuela)"/>
    <s v="Realizamos ronda por todos los pozos de monitoreo exteriores  e interiores anotando datos faltantes en planilla de sensores de nivel."/>
    <n v="5"/>
    <n v="1"/>
    <n v="1"/>
    <n v="0"/>
    <n v="0"/>
    <n v="1"/>
    <n v="1"/>
    <m/>
    <m/>
    <s v="No solicitado"/>
    <s v="-Canalización y cableado a equipos y tablero en zona 2_x000a_-Cambio de rutina en plc zona1_x000a_-Configuración y lectura de manuales para rescatar estado de vdf Daf_x000a_-Configuración de equipos y pruebas"/>
    <m/>
    <m/>
    <m/>
  </r>
  <r>
    <n v="226"/>
    <x v="3"/>
    <x v="0"/>
    <s v="Incorporación de variables vdf zona 2"/>
    <x v="34"/>
    <x v="93"/>
    <x v="3"/>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n v="1"/>
    <n v="1"/>
    <n v="1"/>
    <n v="1"/>
    <n v="1"/>
    <n v="1"/>
    <s v="Otro"/>
    <s v="N-A"/>
    <s v="Certificado actual: MC-14687EE"/>
    <s v="Certificado actual sonda retirada "/>
    <m/>
    <m/>
    <m/>
  </r>
  <r>
    <n v="229"/>
    <x v="3"/>
    <x v="0"/>
    <s v="Integración de nuevas variables "/>
    <x v="34"/>
    <x v="93"/>
    <x v="3"/>
    <d v="2025-10-24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n v="1"/>
    <n v="1"/>
    <n v="1"/>
    <n v="1"/>
    <n v="1"/>
    <n v="1"/>
    <s v="Otro"/>
    <s v="N-A"/>
    <s v="Certificado Actual: desconocido"/>
    <s v="Certificado actual sonda retirada."/>
    <m/>
    <m/>
    <m/>
  </r>
  <r>
    <n v="233"/>
    <x v="6"/>
    <x v="0"/>
    <s v="Mantenimiento preventivo "/>
    <x v="0"/>
    <x v="57"/>
    <x v="0"/>
    <d v="2025-10-27T00:00:00"/>
    <s v="Gestión hidrica el soldado (Nicolas Valenzuela)"/>
    <s v="Realizamos contrastacion en caudalimetro del sector. "/>
    <n v="5"/>
    <n v="1"/>
    <n v="1"/>
    <n v="0"/>
    <n v="1"/>
    <n v="0"/>
    <n v="1"/>
    <m/>
    <m/>
    <s v="…"/>
    <s v="…"/>
    <m/>
    <m/>
    <m/>
  </r>
  <r>
    <n v="233"/>
    <x v="6"/>
    <x v="0"/>
    <s v="Mantenimiento preventivo "/>
    <x v="46"/>
    <x v="128"/>
    <x v="0"/>
    <d v="2025-10-27T00:00:00"/>
    <s v="Gestión hidrica el soldado (Nicolas Valenzuela)"/>
    <s v="Se realizo contrastacion con caudalimetro no invasivo. "/>
    <n v="5"/>
    <n v="1"/>
    <n v="1"/>
    <n v="0"/>
    <n v="1"/>
    <n v="0"/>
    <n v="1"/>
    <m/>
    <m/>
    <s v="No solicitado"/>
    <s v="Implementacion en zona 2_x000a_Seguir con Implementacion de vdf danfoos daf en zona 1_x000a_Cableado adicional a tablero We-connect  aprox 5 mts."/>
    <m/>
    <m/>
    <m/>
  </r>
  <r>
    <n v="233"/>
    <x v="6"/>
    <x v="0"/>
    <s v="Mantenimiento preventivo "/>
    <x v="46"/>
    <x v="129"/>
    <x v="0"/>
    <d v="2025-10-27T00:00:00"/>
    <s v="Gestión hidrica el soldado (Nicolas Valenzuela)"/>
    <s v="Se realizo contrastacion con caudalimetro no invasivo. "/>
    <n v="5"/>
    <n v="1"/>
    <n v="1"/>
    <n v="0"/>
    <n v="1"/>
    <n v="0"/>
    <n v="1"/>
    <m/>
    <m/>
    <s v="21299H405138"/>
    <s v="…"/>
    <m/>
    <m/>
    <m/>
  </r>
  <r>
    <n v="233"/>
    <x v="6"/>
    <x v="0"/>
    <s v="Mantenimiento preventivo "/>
    <x v="46"/>
    <x v="130"/>
    <x v="0"/>
    <d v="2025-10-27T00:00:00"/>
    <s v="Gestión hidrica el soldado (Nicolas Valenzuela)"/>
    <s v="Se realizo contrastacion con caudalimetro no invasivo. "/>
    <n v="5"/>
    <n v="1"/>
    <n v="1"/>
    <n v="0"/>
    <n v="1"/>
    <n v="0"/>
    <n v="1"/>
    <m/>
    <m/>
    <s v="No solicitado"/>
    <s v="Configuración de vdf' Decanter_x000a_Configuración de vdf' Daf para lectura TCP _x000a_"/>
    <m/>
    <m/>
    <m/>
  </r>
  <r>
    <n v="231"/>
    <x v="9"/>
    <x v="0"/>
    <s v="Revisión previa trabajos R3050 y 2700"/>
    <x v="12"/>
    <x v="46"/>
    <x v="0"/>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n v="1"/>
    <n v="1"/>
    <n v="1"/>
    <n v="1"/>
    <n v="1"/>
    <n v="1"/>
    <m/>
    <m/>
    <s v="N-A"/>
    <s v="Levantamiento ok_x000a_Informe ok_x000a_Avances con validación de lectura de vdf"/>
    <m/>
    <m/>
    <m/>
  </r>
  <r>
    <n v="237"/>
    <x v="3"/>
    <x v="0"/>
    <s v="Mantenimiento correctivo "/>
    <x v="2"/>
    <x v="13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n v="0"/>
    <n v="0"/>
    <n v="1"/>
    <s v="Tablero"/>
    <s v="SKUPT000182 Tablero We Connect"/>
    <s v="No aplica _x000a_"/>
    <s v="N-A"/>
    <m/>
    <m/>
    <m/>
  </r>
  <r>
    <n v="237"/>
    <x v="3"/>
    <x v="0"/>
    <s v="Mantenimiento correctivo "/>
    <x v="2"/>
    <x v="131"/>
    <x v="1"/>
    <d v="2025-10-28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n v="1"/>
    <n v="0"/>
    <n v="0"/>
    <n v="0"/>
    <n v="0"/>
    <n v="1"/>
    <s v="Tablero"/>
    <s v="SKUPT000278  EQUIPO DE ADQUISICION DE DATOS 16R DATALOGGER "/>
    <s v="N-A"/>
    <s v="N-A"/>
    <m/>
    <m/>
    <m/>
  </r>
  <r>
    <n v="236"/>
    <x v="9"/>
    <x v="0"/>
    <s v="Mantenimiento correctivo R3050 y 2700"/>
    <x v="12"/>
    <x v="46"/>
    <x v="0"/>
    <d v="2025-10-28T00:00:00"/>
    <s v="Paula Riquelme"/>
    <s v="Se efectua el bloqueo electrico junto con apoyo AA para realizar cambio de automático general que alimenta la telemetría. "/>
    <n v="5"/>
    <n v="1"/>
    <n v="1"/>
    <n v="1"/>
    <n v="1"/>
    <n v="1"/>
    <n v="1"/>
    <m/>
    <m/>
    <s v="N-A"/>
    <s v="En resolución de visita se explica inconveniente levantado con APR we."/>
    <m/>
    <m/>
    <m/>
  </r>
  <r>
    <n v="236"/>
    <x v="9"/>
    <x v="0"/>
    <s v="Mantenimiento correctivo R3050 y 2700"/>
    <x v="12"/>
    <x v="132"/>
    <x v="0"/>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n v="1"/>
    <n v="1"/>
    <n v="1"/>
    <n v="1"/>
    <n v="1"/>
    <n v="1"/>
    <m/>
    <m/>
    <s v="N-A"/>
    <s v="Sensores NH3 y H2S pendiente de conexión por gasas salientes (amoniaco). Supuestamente personal que instalo   equipos nuevo realizaría la conexión para que no pierdan garantía."/>
    <m/>
    <m/>
    <m/>
  </r>
  <r>
    <n v="234"/>
    <x v="6"/>
    <x v="0"/>
    <s v="Levantamiento "/>
    <x v="46"/>
    <x v="133"/>
    <x v="5"/>
    <d v="2025-10-28T00:00:00"/>
    <s v="Gestión hidrica el soldado (Nicolas Valenzuela)"/>
    <s v="Se acompaño a levantamiento técnico en cerro  reforestacion tranque 4. "/>
    <n v="5"/>
    <n v="1"/>
    <n v="1"/>
    <n v="0"/>
    <n v="1"/>
    <n v="0"/>
    <n v="1"/>
    <m/>
    <m/>
    <s v="WE00000001571"/>
    <s v="Cambio de tablero con equipos nuevos, Tomas quedara al pendiente para su revisión. (Raspberrys)"/>
    <m/>
    <m/>
    <m/>
  </r>
  <r>
    <n v="234"/>
    <x v="6"/>
    <x v="0"/>
    <s v="Levantamiento "/>
    <x v="0"/>
    <x v="30"/>
    <x v="0"/>
    <d v="2025-10-28T00:00:00"/>
    <s v="Gestión hidrica el soldado (Nicolas Valenzuela)"/>
    <s v="Realizamos el retiro del transmisor de pulsos del caudalimetro para que realicen mantenimiento o recambio ya que está trabado."/>
    <n v="5"/>
    <n v="1"/>
    <n v="1"/>
    <n v="0"/>
    <n v="1"/>
    <n v="0"/>
    <n v="1"/>
    <m/>
    <m/>
    <s v="WE00000001572"/>
    <s v="Lectura de instrumentación de forma robusta."/>
    <m/>
    <m/>
    <m/>
  </r>
  <r>
    <n v="240"/>
    <x v="4"/>
    <x v="0"/>
    <s v="Contrastación de cuadal"/>
    <x v="0"/>
    <x v="90"/>
    <x v="0"/>
    <d v="2025-10-29T00:00:00"/>
    <s v="Superintendencia de Recursos Hídricos. "/>
    <s v="Se realiza contrastación de caudal en arranque BH-T4 en caudalimetro electromagnético, instrumento en terreno marca 8,64 l-s e instrumento patrón 8,06 l-s, obteniendo una leve diferencia entre equipos, pero confiable."/>
    <n v="5"/>
    <n v="1"/>
    <n v="1"/>
    <n v="0"/>
    <n v="1"/>
    <n v="0"/>
    <n v="1"/>
    <m/>
    <m/>
    <s v="SKUPT000278"/>
    <s v="S-O"/>
    <m/>
    <m/>
    <m/>
  </r>
  <r>
    <n v="240"/>
    <x v="4"/>
    <x v="0"/>
    <s v="Contrastación de cuadal"/>
    <x v="0"/>
    <x v="63"/>
    <x v="0"/>
    <d v="2025-10-29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n v="1"/>
    <n v="1"/>
    <n v="0"/>
    <n v="1"/>
    <n v="0"/>
    <n v="1"/>
    <m/>
    <m/>
    <s v="SKUPT000027"/>
    <s v="Queda pendiente instalación de sensor más configuración "/>
    <m/>
    <m/>
    <m/>
  </r>
  <r>
    <n v="242"/>
    <x v="6"/>
    <x v="0"/>
    <s v="Mantenimiento preventivo y contrastacion "/>
    <x v="46"/>
    <x v="134"/>
    <x v="0"/>
    <d v="2025-10-30T00:00:00"/>
    <s v="Gestión hidrica el soldado (Nicolas Valenzuela)"/>
    <s v="Realizamos contrastacion con caudalimetro no invasivo en pi ping."/>
    <n v="5"/>
    <n v="1"/>
    <n v="1"/>
    <n v="0"/>
    <n v="1"/>
    <n v="0"/>
    <n v="1"/>
    <m/>
    <m/>
    <s v="SKUPT000035"/>
    <s v="Sensor se instalo el día 28 pero no dejo cargarlo en OT, datos de instalación validado en plataforma"/>
    <m/>
    <m/>
    <m/>
  </r>
  <r>
    <n v="242"/>
    <x v="6"/>
    <x v="0"/>
    <s v="Mantenimiento preventivo y contrastacion "/>
    <x v="0"/>
    <x v="63"/>
    <x v="0"/>
    <d v="2025-10-30T00:00:00"/>
    <s v="Gestión hidrica el soldado (Nicolas Valenzuela)"/>
    <s v="Se realizo contrastacion y además se realizaron modificaciones en plataforma y electrovalvula "/>
    <n v="5"/>
    <n v="1"/>
    <n v="1"/>
    <n v="0"/>
    <n v="1"/>
    <n v="0"/>
    <n v="1"/>
    <m/>
    <m/>
    <s v="N-A"/>
    <s v="Sensor de velocidad "/>
    <m/>
    <m/>
    <m/>
  </r>
  <r>
    <n v="242"/>
    <x v="6"/>
    <x v="0"/>
    <s v="Mantenimiento preventivo y contrastacion "/>
    <x v="0"/>
    <x v="30"/>
    <x v="0"/>
    <d v="2025-10-30T00:00:00"/>
    <s v="Gestión hidrica el soldado (Nicolas Valenzuela)"/>
    <s v="Fuimos a revisar caudalimetro, pero no se pudo realizar por haber trabajos de izaje en el lugar"/>
    <n v="5"/>
    <n v="1"/>
    <n v="1"/>
    <n v="0"/>
    <n v="1"/>
    <n v="0"/>
    <n v="1"/>
    <m/>
    <m/>
    <s v="1602515"/>
    <s v="Se configura rutina modbus ya que al integrar nuevo instrumento este deja de leer equipos de medición."/>
    <m/>
    <m/>
    <m/>
  </r>
  <r>
    <n v="242"/>
    <x v="6"/>
    <x v="0"/>
    <s v="Mantenimiento preventivo y contrastacion "/>
    <x v="0"/>
    <x v="25"/>
    <x v="0"/>
    <d v="2025-10-30T00:00:00"/>
    <s v="Gestión hidrica el soldado (Nicolas Valenzuela)"/>
    <s v="En este punto realizamos el conexionado de transmisor de pulsos del caudalimetro yá que había sido reemplazo por problemas."/>
    <n v="5"/>
    <n v="1"/>
    <n v="1"/>
    <n v="0"/>
    <n v="1"/>
    <n v="0"/>
    <n v="1"/>
    <m/>
    <m/>
    <s v="No solicitado"/>
    <s v=".._x000a_"/>
    <m/>
    <m/>
    <m/>
  </r>
  <r>
    <n v="242"/>
    <x v="6"/>
    <x v="0"/>
    <s v="Mantenimiento preventivo y contrastacion "/>
    <x v="0"/>
    <x v="26"/>
    <x v="0"/>
    <d v="2025-10-30T00:00:00"/>
    <s v="Gestión hidrica el soldado (Nicolas Valenzuela)"/>
    <s v="En este punto realizamos el conexionado de transmisor de pulsos del caudalimetro yá que había sido reemplazo por problemas."/>
    <n v="5"/>
    <n v="1"/>
    <n v="1"/>
    <n v="0"/>
    <n v="1"/>
    <n v="0"/>
    <n v="1"/>
    <m/>
    <m/>
    <s v="No solicitado"/>
    <s v="…"/>
    <m/>
    <m/>
    <m/>
  </r>
  <r>
    <n v="241"/>
    <x v="3"/>
    <x v="0"/>
    <s v="Mantenimiento correctivo "/>
    <x v="2"/>
    <x v="135"/>
    <x v="1"/>
    <d v="2025-10-30T00:00:00"/>
    <s v="AA LT Paula Riquelme "/>
    <s v="Permisos de bloqueos ok_x000a_Coordinación con eléctrico ok_x000a_Coordinación con operador y jefe tranque ok_x000a_Cambio de tablero ok_x000a_Configuración de caudalimetro y A.R. ok"/>
    <n v="5"/>
    <n v="0"/>
    <n v="0"/>
    <n v="0"/>
    <n v="1"/>
    <n v="0"/>
    <n v="1"/>
    <s v="Tablero"/>
    <s v="  Equipo de adquisición  16R Datalogger"/>
    <s v="MC12427EE"/>
    <s v="Se saca para calibración "/>
    <m/>
    <m/>
    <m/>
  </r>
  <r>
    <n v="241"/>
    <x v="3"/>
    <x v="0"/>
    <s v="Mantenimiento correctivo "/>
    <x v="2"/>
    <x v="135"/>
    <x v="1"/>
    <d v="2025-10-30T00:00:00"/>
    <s v="AA LT Paula Riquelme "/>
    <s v="Permisos de bloqueos ok_x000a_Coordinación con eléctrico ok_x000a_Coordinación con operador y jefe tranque ok_x000a_Cambio de tablero ok_x000a_Configuración de caudalimetro y A.R. ok"/>
    <n v="5"/>
    <n v="0"/>
    <n v="0"/>
    <n v="0"/>
    <n v="1"/>
    <n v="0"/>
    <n v="1"/>
    <s v="Sensor de nivel"/>
    <s v=" S.H. 16MM 36XS Keller 0 110 MTS"/>
    <s v="SN-PNEPB-8759"/>
    <s v="Se deja instalado en estero"/>
    <m/>
    <m/>
    <m/>
  </r>
  <r>
    <n v="241"/>
    <x v="3"/>
    <x v="0"/>
    <s v="Mantenimiento correctivo "/>
    <x v="2"/>
    <x v="131"/>
    <x v="1"/>
    <d v="2025-10-30T00:00:00"/>
    <s v="AA LT Paula Riquelme "/>
    <s v="Pozo PBO 01 finalizado con éxito, por problemas en cargar documentos no se pudo realizar el dia 28 de octubre, es solo información del s.h. el resto quedo ok."/>
    <n v="5"/>
    <n v="0"/>
    <n v="0"/>
    <n v="0"/>
    <n v="1"/>
    <n v="0"/>
    <n v="1"/>
    <s v="Sensor de nivel"/>
    <s v="S.H. 0 a 50 Keller  36XS  16MM"/>
    <s v=". "/>
    <s v=". "/>
    <m/>
    <m/>
    <m/>
  </r>
  <r>
    <n v="247"/>
    <x v="2"/>
    <x v="0"/>
    <s v="Trabajos administrativo "/>
    <x v="47"/>
    <x v="136"/>
    <x v="4"/>
    <d v="2025-11-03T00:00:00"/>
    <s v="Patricio Cortes "/>
    <s v="Se estuvo trabajando en el informe que proporciona los trabajos realizados en terreno "/>
    <n v="5"/>
    <n v="1"/>
    <n v="1"/>
    <n v="1"/>
    <n v="1"/>
    <n v="1"/>
    <n v="1"/>
    <m/>
    <m/>
    <s v="X"/>
    <s v="Lectura modbus del instrumento. Número de serie en fotos."/>
    <m/>
    <m/>
    <m/>
  </r>
  <r>
    <n v="244"/>
    <x v="6"/>
    <x v="0"/>
    <s v="Mantenimiento preventivo e instalación "/>
    <x v="48"/>
    <x v="123"/>
    <x v="0"/>
    <d v="2025-11-03T00:00:00"/>
    <s v="Gestión hidrica el soldado (Nicolas Valenzuela)"/>
    <s v="Se realizo check list de herramientas. _x000a_Se realizo marca de herramientas correspondiente al mes 2 cinta azul."/>
    <n v="5"/>
    <n v="1"/>
    <n v="1"/>
    <n v="0"/>
    <n v="1"/>
    <n v="0"/>
    <n v="1"/>
    <m/>
    <m/>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m/>
    <m/>
    <m/>
  </r>
  <r>
    <n v="244"/>
    <x v="6"/>
    <x v="0"/>
    <s v="Mantenimiento preventivo e instalación "/>
    <x v="0"/>
    <x v="1"/>
    <x v="0"/>
    <d v="2025-11-03T00:00:00"/>
    <s v="Gestión hidrica el soldado (Nicolas Valenzuela)"/>
    <s v="Realizamos el cambio de flujo de aguas túnel._x000a_Guiando todo el flujo hacia túnel sur para poder ejecutar trabajos en estero. "/>
    <n v="5"/>
    <n v="1"/>
    <n v="1"/>
    <n v="0"/>
    <n v="1"/>
    <n v="0"/>
    <n v="1"/>
    <m/>
    <m/>
    <s v="Sku000788_x000a_"/>
    <s v="Cables display port no disponible en cajas, son necesarios para conexión al PC"/>
    <m/>
    <m/>
    <m/>
  </r>
  <r>
    <n v="244"/>
    <x v="6"/>
    <x v="0"/>
    <s v="Mantenimiento preventivo e instalación "/>
    <x v="0"/>
    <x v="137"/>
    <x v="3"/>
    <d v="2025-11-03T00:00:00"/>
    <s v="Gestión hidrica el soldado (Nicolas Valenzuela)"/>
    <s v="Realizamos avances en instalacion de sensores de velocidad, canalización y cableado en estero."/>
    <n v="5"/>
    <n v="1"/>
    <n v="1"/>
    <n v="0"/>
    <n v="1"/>
    <n v="0"/>
    <n v="1"/>
    <s v="Otro"/>
    <s v="N-A"/>
    <s v="21316H405167"/>
    <s v="El punto queda pendiente de integrar variables en plataforma. _x000a_Dispositivo UC 300 se encuentra transmitiendo las variables ph. Temperatura y conductividad "/>
    <m/>
    <m/>
    <m/>
  </r>
  <r>
    <n v="248"/>
    <x v="2"/>
    <x v="0"/>
    <s v="Informe de avance sobre los trabajos R.E-31 we2025-01166"/>
    <x v="49"/>
    <x v="136"/>
    <x v="4"/>
    <d v="2025-11-04T00:00:00"/>
    <s v="Patricio Cortes "/>
    <s v="Se realiza avance de informe de terreno que proporciona la información sobre los trabajos que se han ejecutado en terreno."/>
    <n v="5"/>
    <n v="1"/>
    <n v="1"/>
    <n v="1"/>
    <n v="1"/>
    <n v="1"/>
    <n v="1"/>
    <m/>
    <m/>
    <s v="21351H405177"/>
    <s v="El punto queda instalado reflejando las variables en plataforma y contrastado con los distintos software linkcomm, Hydrolab, tolbox._x000a_"/>
    <m/>
    <m/>
    <m/>
  </r>
  <r>
    <n v="246"/>
    <x v="6"/>
    <x v="0"/>
    <s v="Mantenimiento preventivo e instalación "/>
    <x v="48"/>
    <x v="138"/>
    <x v="0"/>
    <d v="2025-11-04T00:00:00"/>
    <s v="Gestión hidrica el soldado (Nicolas Valenzuela)"/>
    <s v="Realizamos el cambio de flujo desde túnel norte hacía túnel sur"/>
    <n v="5"/>
    <n v="1"/>
    <n v="1"/>
    <n v="0"/>
    <n v="0"/>
    <n v="0"/>
    <n v="1"/>
    <m/>
    <m/>
    <s v="25269H406095"/>
    <s v="Se encuentra pendiente la conexión de la sonda hacia el equipo Sutron._x000a_Falta de configuración y comunicación. "/>
    <m/>
    <m/>
    <m/>
  </r>
  <r>
    <n v="246"/>
    <x v="6"/>
    <x v="0"/>
    <s v="Mantenimiento preventivo e instalación "/>
    <x v="46"/>
    <x v="139"/>
    <x v="0"/>
    <d v="2025-11-04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n v="1"/>
    <n v="1"/>
    <n v="0"/>
    <n v="0"/>
    <n v="0"/>
    <n v="1"/>
    <m/>
    <m/>
    <s v="25269H406094"/>
    <s v="Pendiente de configuración con plataforma._x000a_Punto conectado y transmitiendo."/>
    <m/>
    <m/>
    <m/>
  </r>
  <r>
    <n v="245"/>
    <x v="3"/>
    <x v="0"/>
    <s v="Integración de sensor de nivel pozo, configuración de telemetria rutina Modbus "/>
    <x v="2"/>
    <x v="135"/>
    <x v="1"/>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n v="0"/>
    <n v="0"/>
    <n v="0"/>
    <n v="1"/>
    <n v="0"/>
    <n v="1"/>
    <s v="Sensor de nivel"/>
    <s v="Keller pn 233620.0199 0-100 mts 36xs"/>
    <s v="25269H406095"/>
    <s v="Se encuentra pendiente de la configuración d dato físico hacia la plataforma we-Techs"/>
    <m/>
    <m/>
    <m/>
  </r>
  <r>
    <n v="249"/>
    <x v="6"/>
    <x v="0"/>
    <s v="Mantenimiento e instalación "/>
    <x v="48"/>
    <x v="140"/>
    <x v="0"/>
    <d v="2025-11-05T00:00:00"/>
    <s v="Gestión hidrica el soldado (Nicolas Valenzuela)"/>
    <s v="Hoy se realizo configuración en el equipo teledyne y además conexionado entre tablero y equipo. _x000a_Queda pendiente configuración de UC 300."/>
    <n v="5"/>
    <n v="1"/>
    <n v="1"/>
    <n v="0"/>
    <n v="1"/>
    <n v="0"/>
    <n v="1"/>
    <m/>
    <m/>
    <s v="…"/>
    <s v="Se genera el cambio de flowcell artesanal por flowcell original de la marca generando el paso correcto del fluido "/>
    <m/>
    <m/>
    <m/>
  </r>
  <r>
    <n v="253"/>
    <x v="6"/>
    <x v="0"/>
    <s v="Instalación y configuración "/>
    <x v="46"/>
    <x v="141"/>
    <x v="0"/>
    <d v="2025-11-06T00:00:00"/>
    <s v="Gestión hidrica el soldado (Nicolas Valenzuela)"/>
    <s v="Se continúa con configuración de equipo además se invierte el sentido de los sensor de velocidad. "/>
    <n v="5"/>
    <n v="1"/>
    <n v="1"/>
    <n v="0"/>
    <n v="1"/>
    <n v="0"/>
    <n v="1"/>
    <m/>
    <m/>
    <s v="25272H406097"/>
    <s v="Queda punto correctamente instalado y enviando datos "/>
    <m/>
    <m/>
    <m/>
  </r>
  <r>
    <n v="253"/>
    <x v="6"/>
    <x v="0"/>
    <s v="Instalación y configuración "/>
    <x v="0"/>
    <x v="137"/>
    <x v="0"/>
    <d v="2025-11-06T00:00:00"/>
    <s v="Gestión hidrica el soldado (Nicolas Valenzuela)"/>
    <s v="Se realizo traslado de materiales, además se realizo montaje de panel solar._x000a_Se realizo montaje de tableros we connect y we solar."/>
    <n v="5"/>
    <n v="1"/>
    <n v="1"/>
    <n v="0"/>
    <n v="1"/>
    <n v="0"/>
    <n v="1"/>
    <m/>
    <m/>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m/>
    <m/>
    <m/>
  </r>
  <r>
    <n v="255"/>
    <x v="9"/>
    <x v="0"/>
    <s v="Mantnimiento correctivo R3050 y 2700"/>
    <x v="12"/>
    <x v="36"/>
    <x v="0"/>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n v="1"/>
    <n v="0"/>
    <n v="0"/>
    <n v="0"/>
    <n v="0"/>
    <n v="1"/>
    <m/>
    <m/>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m/>
    <m/>
    <m/>
  </r>
  <r>
    <n v="255"/>
    <x v="9"/>
    <x v="0"/>
    <s v="Mantnimiento correctivo R3050 y 2700"/>
    <x v="12"/>
    <x v="45"/>
    <x v="0"/>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n v="1"/>
    <n v="0"/>
    <n v="0"/>
    <n v="0"/>
    <n v="0"/>
    <n v="1"/>
    <m/>
    <m/>
    <s v="25269H406095"/>
    <s v="Se encuentra instalado solo falta configurar la variable de nivel instalada "/>
    <m/>
    <m/>
    <m/>
  </r>
  <r>
    <n v="254"/>
    <x v="6"/>
    <x v="0"/>
    <s v="Instalación RQ30 estero el gallo"/>
    <x v="0"/>
    <x v="137"/>
    <x v="0"/>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n v="1"/>
    <n v="1"/>
    <n v="0"/>
    <n v="1"/>
    <n v="0"/>
    <n v="1"/>
    <m/>
    <m/>
    <s v="."/>
    <s v="…"/>
    <m/>
    <m/>
    <m/>
  </r>
  <r>
    <n v="258"/>
    <x v="0"/>
    <x v="0"/>
    <s v="Mantenimiento preventivo "/>
    <x v="0"/>
    <x v="25"/>
    <x v="0"/>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n v="1"/>
    <n v="0"/>
    <n v="0"/>
    <n v="1"/>
    <n v="0"/>
    <n v="1"/>
    <m/>
    <m/>
    <s v="25261H406083"/>
    <s v="Recinto con transmisión de datos operativo."/>
    <m/>
    <m/>
    <m/>
  </r>
  <r>
    <n v="258"/>
    <x v="0"/>
    <x v="0"/>
    <s v="Mantenimiento preventivo "/>
    <x v="0"/>
    <x v="1"/>
    <x v="0"/>
    <d v="2025-11-10T00:00:00"/>
    <s v="Superintendencia de recursos hidricos "/>
    <s v="Se cierra válvula de piscina UG hacia piscina 3800 por solicitud de cliente. "/>
    <n v="5"/>
    <n v="1"/>
    <n v="0"/>
    <n v="0"/>
    <n v="1"/>
    <n v="0"/>
    <n v="1"/>
    <m/>
    <m/>
    <s v="252630000050"/>
    <s v="."/>
    <m/>
    <m/>
    <m/>
  </r>
  <r>
    <n v="258"/>
    <x v="0"/>
    <x v="0"/>
    <s v="Mantenimiento preventivo "/>
    <x v="0"/>
    <x v="61"/>
    <x v="2"/>
    <d v="2025-11-10T00:00:00"/>
    <s v="Superintendencia de recursos hidricos "/>
    <s v="Cambio de sonda multiparamétrica para enviar a calibración_x000a__x000a_Limpieza a flowcell, contrastación y validación de datos. "/>
    <n v="5"/>
    <n v="1"/>
    <n v="0"/>
    <n v="0"/>
    <n v="1"/>
    <n v="0"/>
    <n v="1"/>
    <s v="Sonda multiparamétrica"/>
    <s v="Tripod"/>
    <s v=" 25260H406082_x000a_"/>
    <s v="."/>
    <m/>
    <m/>
    <m/>
  </r>
  <r>
    <n v="257"/>
    <x v="2"/>
    <x v="0"/>
    <s v="Instalación y configuración "/>
    <x v="2"/>
    <x v="142"/>
    <x v="5"/>
    <d v="2025-11-10T00:00:00"/>
    <s v="Patricio Cortez "/>
    <s v="Se encuentra pendiente de la instalación del panel fotovoltaico y canalización por personal de ASAP. "/>
    <n v="5"/>
    <n v="0"/>
    <n v="0"/>
    <n v="0"/>
    <n v="1"/>
    <n v="0"/>
    <n v="1"/>
    <m/>
    <m/>
    <s v="2004661"/>
    <s v="."/>
    <m/>
    <m/>
    <m/>
  </r>
  <r>
    <n v="257"/>
    <x v="2"/>
    <x v="0"/>
    <s v="Instalación y configuración "/>
    <x v="2"/>
    <x v="32"/>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n v="0"/>
    <n v="0"/>
    <n v="0"/>
    <n v="1"/>
    <n v="0"/>
    <n v="1"/>
    <m/>
    <m/>
    <s v="25272H406096"/>
    <s v="."/>
    <m/>
    <m/>
    <m/>
  </r>
  <r>
    <n v="257"/>
    <x v="2"/>
    <x v="0"/>
    <s v="Instalación y configuración "/>
    <x v="2"/>
    <x v="7"/>
    <x v="3"/>
    <d v="2025-11-10T00:00:00"/>
    <s v="Patricio Cortez "/>
    <s v="Conexión entre panel solar tablero we conect solar además se canaliza a tablero we nodo Sutron la comunicación y alimentación "/>
    <n v="5"/>
    <n v="0"/>
    <n v="0"/>
    <n v="0"/>
    <n v="1"/>
    <n v="0"/>
    <n v="1"/>
    <s v="Cableado"/>
    <s v="…"/>
    <s v="25265H406087"/>
    <s v="."/>
    <m/>
    <m/>
    <m/>
  </r>
  <r>
    <n v="257"/>
    <x v="2"/>
    <x v="0"/>
    <s v="Instalación y configuración "/>
    <x v="2"/>
    <x v="143"/>
    <x v="3"/>
    <d v="2025-11-10T00:00:00"/>
    <s v="Patricio Cortez "/>
    <s v="Conexión entre panel solar tablero we conect solar además se canaliza a tablero we nodo Sutron la comunicación y alimentación "/>
    <n v="5"/>
    <n v="0"/>
    <n v="0"/>
    <n v="0"/>
    <n v="1"/>
    <n v="0"/>
    <n v="1"/>
    <s v="Cableado"/>
    <s v="…"/>
    <s v="21100127"/>
    <s v="."/>
    <m/>
    <m/>
    <m/>
  </r>
  <r>
    <n v="260"/>
    <x v="0"/>
    <x v="0"/>
    <s v="Mantenimiento preventivo"/>
    <x v="0"/>
    <x v="26"/>
    <x v="0"/>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n v="1"/>
    <n v="1"/>
    <n v="0"/>
    <n v="0"/>
    <n v="0"/>
    <n v="0"/>
    <m/>
    <m/>
    <m/>
    <m/>
    <m/>
    <m/>
    <m/>
  </r>
  <r>
    <n v="260"/>
    <x v="0"/>
    <x v="0"/>
    <s v="Mantenimiento preventivo"/>
    <x v="0"/>
    <x v="137"/>
    <x v="3"/>
    <d v="2025-11-11T00:00:00"/>
    <s v="Superintendencia de recursos hidricos "/>
    <s v="Se instala sonda multiparametrica nueva, se conecta en tablero We control_x000a_Queda pendiente la configuración de lector RQ30._x000a_Se finaliza canalizaciones y conexionado en el punto"/>
    <n v="5"/>
    <n v="1"/>
    <n v="1"/>
    <n v="0"/>
    <n v="0"/>
    <n v="0"/>
    <n v="0"/>
    <s v="Sonda multiparamétrica"/>
    <s v="Trípod aqualabo"/>
    <m/>
    <m/>
    <m/>
    <m/>
    <m/>
  </r>
  <r>
    <n v="260"/>
    <x v="0"/>
    <x v="0"/>
    <s v="Mantenimiento preventivo"/>
    <x v="0"/>
    <x v="137"/>
    <x v="3"/>
    <d v="2025-11-11T00:00:00"/>
    <s v="Superintendencia de recursos hidricos "/>
    <s v="Se instala sonda multiparametrica nueva, se conecta en tablero We control_x000a_Queda pendiente la configuración de lector RQ30._x000a_Se finaliza canalizaciones y conexionado en el punto"/>
    <n v="5"/>
    <n v="1"/>
    <n v="1"/>
    <n v="0"/>
    <n v="0"/>
    <n v="0"/>
    <n v="0"/>
    <s v="Otro"/>
    <s v="Batería  55AH"/>
    <m/>
    <m/>
    <m/>
    <m/>
    <m/>
  </r>
  <r>
    <n v="263"/>
    <x v="1"/>
    <x v="0"/>
    <s v="Ejecución de proyectos de reintegración de telemetria "/>
    <x v="50"/>
    <x v="144"/>
    <x v="3"/>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n v="1"/>
    <n v="1"/>
    <n v="1"/>
    <n v="1"/>
    <n v="1"/>
    <n v="1"/>
    <s v="Sensor de nivel"/>
    <s v="Sblt50"/>
    <m/>
    <m/>
    <m/>
    <m/>
    <m/>
  </r>
  <r>
    <n v="262"/>
    <x v="0"/>
    <x v="0"/>
    <s v="Configuraciones "/>
    <x v="0"/>
    <x v="137"/>
    <x v="0"/>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n v="1"/>
    <n v="0"/>
    <n v="0"/>
    <n v="1"/>
    <n v="0"/>
    <n v="1"/>
    <m/>
    <m/>
    <m/>
    <m/>
    <m/>
    <m/>
    <m/>
  </r>
  <r>
    <n v="262"/>
    <x v="0"/>
    <x v="0"/>
    <s v="Configuraciones "/>
    <x v="46"/>
    <x v="145"/>
    <x v="0"/>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n v="1"/>
    <n v="0"/>
    <n v="0"/>
    <n v="1"/>
    <n v="0"/>
    <n v="1"/>
    <m/>
    <m/>
    <m/>
    <m/>
    <m/>
    <m/>
    <m/>
  </r>
  <r>
    <n v="270"/>
    <x v="12"/>
    <x v="0"/>
    <s v="En Asset pozo Integración caudalimetro y en Asset estanque estados generales a demás de todas las pruebas de funcionamiento correcto en todo el proyecto pocochay"/>
    <x v="50"/>
    <x v="146"/>
    <x v="3"/>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n v="1"/>
    <n v="1"/>
    <n v="1"/>
    <n v="1"/>
    <n v="1"/>
    <n v="1"/>
    <s v="Caudalímetro"/>
    <s v="MAG6000"/>
    <m/>
    <m/>
    <m/>
    <m/>
    <m/>
  </r>
  <r>
    <n v="267"/>
    <x v="9"/>
    <x v="0"/>
    <s v="Mantenimiento correctivo telemetria "/>
    <x v="12"/>
    <x v="46"/>
    <x v="0"/>
    <d v="2025-11-13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n v="0"/>
    <n v="0"/>
    <n v="0"/>
    <n v="0"/>
    <n v="0"/>
    <n v="0"/>
    <m/>
    <m/>
    <m/>
    <m/>
    <m/>
    <m/>
    <m/>
  </r>
  <r>
    <n v="267"/>
    <x v="9"/>
    <x v="0"/>
    <s v="Mantenimiento correctivo telemetria "/>
    <x v="12"/>
    <x v="132"/>
    <x v="0"/>
    <d v="2025-11-13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n v="0"/>
    <n v="0"/>
    <n v="0"/>
    <n v="0"/>
    <n v="0"/>
    <n v="0"/>
    <m/>
    <m/>
    <m/>
    <m/>
    <m/>
    <m/>
    <m/>
  </r>
  <r>
    <n v="266"/>
    <x v="0"/>
    <x v="0"/>
    <s v="Configuraciones "/>
    <x v="0"/>
    <x v="25"/>
    <x v="0"/>
    <d v="2025-11-13T00:00:00"/>
    <s v="Superintendencia de recursos hidricos "/>
    <s v="Se agrega el volumen acumulado total en rutina de PLC para que se pueda reflejar en plataforma. _x000a__x000a_Observaciones _x000a_Flange de caudalimetro aún sigue con fuga"/>
    <n v="5"/>
    <n v="1"/>
    <n v="1"/>
    <n v="0"/>
    <n v="1"/>
    <n v="0"/>
    <n v="1"/>
    <m/>
    <m/>
    <m/>
    <m/>
    <m/>
    <m/>
    <m/>
  </r>
  <r>
    <n v="266"/>
    <x v="0"/>
    <x v="0"/>
    <s v="Configuraciones "/>
    <x v="0"/>
    <x v="26"/>
    <x v="0"/>
    <d v="2025-11-13T00:00:00"/>
    <s v="Superintendencia de recursos hidricos "/>
    <s v="Se agrega el volumen acumulado total en rutina de PLC para que se pueda reflejar en plataforma. _x000a_Misma configuración qué en PLL-01 "/>
    <n v="5"/>
    <n v="1"/>
    <n v="1"/>
    <n v="0"/>
    <n v="1"/>
    <n v="0"/>
    <n v="1"/>
    <m/>
    <m/>
    <m/>
    <m/>
    <m/>
    <m/>
    <m/>
  </r>
  <r>
    <n v="266"/>
    <x v="0"/>
    <x v="0"/>
    <s v="Configuraciones "/>
    <x v="0"/>
    <x v="52"/>
    <x v="0"/>
    <d v="2025-11-13T00:00:00"/>
    <s v="Superintendencia de recursos hidricos "/>
    <s v="Se rescata las configuraciones del uc300 para proceder de la misma manera en Estero el gallo"/>
    <n v="5"/>
    <n v="1"/>
    <n v="1"/>
    <n v="0"/>
    <n v="1"/>
    <n v="0"/>
    <n v="1"/>
    <m/>
    <m/>
    <m/>
    <m/>
    <m/>
    <m/>
    <m/>
  </r>
  <r>
    <n v="266"/>
    <x v="0"/>
    <x v="0"/>
    <s v="Configuraciones "/>
    <x v="0"/>
    <x v="137"/>
    <x v="0"/>
    <d v="2025-11-13T00:00:00"/>
    <s v="Superintendencia de recursos hidricos "/>
    <s v="Se realizan configuraciones de sonda multiparametrica, RQ30, y del punto por completo._x000a_Se agregan rutinas de lectura al PLC, y se deja transmitiendo en plataforma todas las variables correspondientes. "/>
    <n v="5"/>
    <n v="1"/>
    <n v="1"/>
    <n v="0"/>
    <n v="1"/>
    <n v="0"/>
    <n v="1"/>
    <m/>
    <m/>
    <m/>
    <m/>
    <m/>
    <m/>
    <m/>
  </r>
  <r>
    <n v="268"/>
    <x v="9"/>
    <x v="0"/>
    <s v="Contrastación Caudalimetro E"/>
    <x v="12"/>
    <x v="36"/>
    <x v="0"/>
    <d v="2025-11-14T00:00:00"/>
    <s v="Paula Riquelme"/>
    <s v="Se realiza contrastación de caudalimetro E, se logra hacer mediciones y registrar fotograficamente los resultados. Las mediciones arrojan un desfase de aproximadamente 60l-s entre el equipo patrón y el instrumento en terreno."/>
    <n v="5"/>
    <n v="1"/>
    <n v="1"/>
    <n v="0"/>
    <n v="0"/>
    <n v="0"/>
    <n v="1"/>
    <m/>
    <m/>
    <m/>
    <m/>
    <m/>
    <m/>
    <m/>
  </r>
  <r>
    <n v="272"/>
    <x v="6"/>
    <x v="0"/>
    <s v="Mantenimiento preventivo "/>
    <x v="0"/>
    <x v="137"/>
    <x v="0"/>
    <d v="2025-11-17T00:00:00"/>
    <s v="Gestión hidrica el soldado (Nicolas Valenzuela)"/>
    <s v="Se realizo inspección en equipo estero el gallo, pantalla se encuentra con problemas "/>
    <n v="5"/>
    <n v="1"/>
    <n v="1"/>
    <n v="0"/>
    <n v="1"/>
    <n v="0"/>
    <n v="1"/>
    <m/>
    <m/>
    <m/>
    <m/>
    <m/>
    <m/>
    <m/>
  </r>
  <r>
    <n v="272"/>
    <x v="6"/>
    <x v="0"/>
    <s v="Mantenimiento preventivo "/>
    <x v="0"/>
    <x v="86"/>
    <x v="0"/>
    <d v="2025-11-17T00:00:00"/>
    <s v="Gestión hidrica el soldado (Nicolas Valenzuela)"/>
    <s v="Se realizo cambio de sonda multiparametrica, además se da revisión de su correcto funcionamiento. "/>
    <n v="5"/>
    <n v="1"/>
    <n v="1"/>
    <n v="0"/>
    <n v="1"/>
    <n v="0"/>
    <n v="1"/>
    <m/>
    <m/>
    <m/>
    <m/>
    <m/>
    <m/>
    <m/>
  </r>
  <r>
    <n v="272"/>
    <x v="6"/>
    <x v="0"/>
    <s v="Mantenimiento preventivo "/>
    <x v="0"/>
    <x v="63"/>
    <x v="0"/>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n v="1"/>
    <n v="1"/>
    <n v="0"/>
    <n v="1"/>
    <n v="0"/>
    <n v="1"/>
    <m/>
    <m/>
    <m/>
    <m/>
    <m/>
    <m/>
    <m/>
  </r>
  <r>
    <n v="272"/>
    <x v="6"/>
    <x v="0"/>
    <s v="Mantenimiento preventivo "/>
    <x v="0"/>
    <x v="25"/>
    <x v="0"/>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n v="1"/>
    <n v="1"/>
    <n v="0"/>
    <n v="1"/>
    <n v="0"/>
    <n v="1"/>
    <m/>
    <m/>
    <m/>
    <m/>
    <m/>
    <m/>
    <m/>
  </r>
  <r>
    <n v="272"/>
    <x v="6"/>
    <x v="0"/>
    <s v="Mantenimiento preventivo "/>
    <x v="0"/>
    <x v="30"/>
    <x v="0"/>
    <d v="2025-11-17T00:00:00"/>
    <s v="Gestión hidrica el soldado (Nicolas Valenzuela)"/>
    <s v="LGO tranque nos pidió revisión del pozo los litres 5 ya que en plataforma no le aparece caudal. _x000a_Se realizo la instalación del transmisor de pulsos  y se soluciona el problema. "/>
    <n v="5"/>
    <n v="1"/>
    <n v="1"/>
    <n v="0"/>
    <n v="1"/>
    <n v="0"/>
    <n v="1"/>
    <m/>
    <m/>
    <m/>
    <m/>
    <m/>
    <m/>
    <m/>
  </r>
  <r>
    <n v="276"/>
    <x v="6"/>
    <x v="0"/>
    <s v="Mantenimiento preventivo "/>
    <x v="0"/>
    <x v="85"/>
    <x v="0"/>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n v="1"/>
    <n v="1"/>
    <n v="0"/>
    <n v="1"/>
    <n v="0"/>
    <n v="1"/>
    <m/>
    <m/>
    <m/>
    <m/>
    <m/>
    <m/>
    <m/>
  </r>
  <r>
    <n v="276"/>
    <x v="6"/>
    <x v="0"/>
    <s v="Mantenimiento preventivo "/>
    <x v="0"/>
    <x v="59"/>
    <x v="0"/>
    <d v="2025-11-18T00:00:00"/>
    <s v="Gestión hidrica el soldado (Nicolas Valenzuela)"/>
    <s v="Se realizo cambio de sonda multiparametrica. Volvió la que corresponde al pozo. Se retira la de reemplazo."/>
    <n v="5"/>
    <n v="1"/>
    <n v="1"/>
    <n v="0"/>
    <n v="1"/>
    <n v="0"/>
    <n v="1"/>
    <m/>
    <m/>
    <m/>
    <m/>
    <m/>
    <m/>
    <m/>
  </r>
  <r>
    <n v="276"/>
    <x v="6"/>
    <x v="0"/>
    <s v="Mantenimiento preventivo "/>
    <x v="0"/>
    <x v="59"/>
    <x v="0"/>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n v="1"/>
    <n v="1"/>
    <n v="0"/>
    <n v="1"/>
    <n v="0"/>
    <n v="1"/>
    <m/>
    <m/>
    <m/>
    <m/>
    <m/>
    <m/>
    <m/>
  </r>
  <r>
    <n v="274"/>
    <x v="2"/>
    <x v="0"/>
    <s v="Conexión y configuración "/>
    <x v="51"/>
    <x v="147"/>
    <x v="5"/>
    <d v="2025-11-18T00:00:00"/>
    <s v="Patricio Cortez "/>
    <s v="Se realiza inspección y configuración para la lectura de los equipos en terreno con la intención de generar la integración de los equipo Sutron y obtención de lectura y transmisión a plataforma"/>
    <n v="5"/>
    <n v="0"/>
    <n v="0"/>
    <n v="0"/>
    <n v="1"/>
    <n v="0"/>
    <n v="1"/>
    <m/>
    <m/>
    <m/>
    <m/>
    <m/>
    <m/>
    <m/>
  </r>
  <r>
    <n v="280"/>
    <x v="2"/>
    <x v="1"/>
    <s v="Conexión y configuración "/>
    <x v="2"/>
    <x v="148"/>
    <x v="3"/>
    <d v="2025-11-19T00:00:00"/>
    <s v="Patricio Cortes "/>
    <s v="Se genera la instalación del recinto PME-08._x000a_Se encuentra la la integración de las variables "/>
    <n v="5"/>
    <n v="0"/>
    <n v="0"/>
    <n v="0"/>
    <n v="1"/>
    <n v="0"/>
    <n v="1"/>
    <s v="Sonda multiparamétrica"/>
    <s v="HL4"/>
    <m/>
    <m/>
    <m/>
    <m/>
    <m/>
  </r>
  <r>
    <n v="280"/>
    <x v="2"/>
    <x v="1"/>
    <s v="Conexión y configuración "/>
    <x v="2"/>
    <x v="143"/>
    <x v="3"/>
    <d v="2025-11-19T00:00:00"/>
    <s v="Patricio Cortes "/>
    <s v="Se genera el término de la instalación en el recinto PME-09._x000a_El punto se encuentra visualizando las variables en plataforma."/>
    <n v="5"/>
    <n v="0"/>
    <n v="0"/>
    <n v="0"/>
    <n v="1"/>
    <n v="0"/>
    <n v="1"/>
    <s v="Sonda multiparamétrica"/>
    <s v="HL4"/>
    <m/>
    <m/>
    <m/>
    <m/>
    <m/>
  </r>
  <r>
    <n v="280"/>
    <x v="2"/>
    <x v="1"/>
    <s v="Conexión y configuración "/>
    <x v="2"/>
    <x v="149"/>
    <x v="3"/>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n v="0"/>
    <n v="0"/>
    <n v="0"/>
    <n v="1"/>
    <n v="0"/>
    <n v="1"/>
    <s v="Sonda multiparamétrica"/>
    <s v="HL4"/>
    <m/>
    <m/>
    <m/>
    <m/>
    <m/>
  </r>
  <r>
    <n v="278"/>
    <x v="0"/>
    <x v="2"/>
    <s v="Configuraciones "/>
    <x v="46"/>
    <x v="150"/>
    <x v="0"/>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n v="1"/>
    <n v="1"/>
    <n v="0"/>
    <n v="1"/>
    <n v="0"/>
    <n v="1"/>
    <m/>
    <m/>
    <m/>
    <m/>
    <m/>
    <m/>
    <m/>
  </r>
  <r>
    <n v="278"/>
    <x v="0"/>
    <x v="2"/>
    <s v="Configuraciones "/>
    <x v="0"/>
    <x v="121"/>
    <x v="0"/>
    <d v="2025-11-19T00:00:00"/>
    <s v="Superintendencia de recursos hidricos "/>
    <s v="No se encontraba actualizando en plataforma y se acude al punto a verificar la situación. _x000a_Se detecta válvula vortex trabada. _x000a_Se revisa programa de PLC _x000a_"/>
    <n v="5"/>
    <n v="1"/>
    <n v="1"/>
    <n v="0"/>
    <n v="1"/>
    <n v="0"/>
    <n v="1"/>
    <m/>
    <m/>
    <m/>
    <m/>
    <m/>
    <m/>
    <m/>
  </r>
  <r>
    <n v="278"/>
    <x v="0"/>
    <x v="2"/>
    <s v="Configuraciones "/>
    <x v="0"/>
    <x v="85"/>
    <x v="0"/>
    <d v="2025-11-19T00:00:00"/>
    <s v="Superintendencia de recursos hidricos "/>
    <s v="Se detecta fuga de agua en el punto a través de la base de cemento del pozo"/>
    <n v="5"/>
    <n v="1"/>
    <n v="1"/>
    <n v="0"/>
    <n v="1"/>
    <n v="0"/>
    <n v="1"/>
    <m/>
    <m/>
    <m/>
    <m/>
    <m/>
    <m/>
    <m/>
  </r>
  <r>
    <n v="277"/>
    <x v="13"/>
    <x v="3"/>
    <s v="Instalación de 2 monitores que reingresan después de proceso de garantía."/>
    <x v="52"/>
    <x v="151"/>
    <x v="3"/>
    <d v="2025-11-19T00:00:00"/>
    <s v="Lipigas "/>
    <s v="Se instalan 2 monitores lenovo quedando ok y configurados._x000a_Se retira otro monitor para ser enviado a servicio técnico."/>
    <n v="5"/>
    <n v="1"/>
    <n v="1"/>
    <n v="1"/>
    <n v="1"/>
    <n v="1"/>
    <n v="1"/>
    <s v="Otro"/>
    <s v="Lenovo thinkvision E24-40"/>
    <m/>
    <m/>
    <m/>
    <m/>
    <m/>
  </r>
  <r>
    <n v="283"/>
    <x v="4"/>
    <x v="2"/>
    <s v="Solicitud cliente"/>
    <x v="0"/>
    <x v="152"/>
    <x v="0"/>
    <d v="2025-11-20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n v="1"/>
    <n v="1"/>
    <n v="0"/>
    <n v="1"/>
    <n v="1"/>
    <n v="1"/>
    <m/>
    <m/>
    <m/>
    <m/>
    <m/>
    <m/>
    <m/>
  </r>
  <r>
    <n v="283"/>
    <x v="4"/>
    <x v="2"/>
    <s v="Solicitud cliente"/>
    <x v="0"/>
    <x v="27"/>
    <x v="0"/>
    <d v="2025-11-20T00:00:00"/>
    <s v="Gestión Hídrica El Soldado"/>
    <s v="Se realiza visita a recinto, el cual se obtiene largo de cable sensor hidrostatico, el cual es de 20mts."/>
    <n v="5"/>
    <n v="1"/>
    <n v="1"/>
    <n v="0"/>
    <n v="1"/>
    <n v="1"/>
    <n v="1"/>
    <m/>
    <m/>
    <m/>
    <m/>
    <m/>
    <m/>
    <m/>
  </r>
  <r>
    <n v="283"/>
    <x v="4"/>
    <x v="2"/>
    <s v="Solicitud cliente"/>
    <x v="0"/>
    <x v="28"/>
    <x v="0"/>
    <d v="2025-11-20T00:00:00"/>
    <s v="Gestión Hídrica El Soldado"/>
    <s v="Se realiza visita a recinto, el cual se obtiene largo de cable sensor hidrostatico, el cual es de 20mts."/>
    <n v="5"/>
    <n v="1"/>
    <n v="1"/>
    <n v="0"/>
    <n v="1"/>
    <n v="1"/>
    <n v="1"/>
    <m/>
    <m/>
    <m/>
    <m/>
    <m/>
    <m/>
    <m/>
  </r>
  <r>
    <n v="282"/>
    <x v="3"/>
    <x v="3"/>
    <s v="Pruebas de control y adicionales "/>
    <x v="34"/>
    <x v="93"/>
    <x v="3"/>
    <d v="2025-11-20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n v="1"/>
    <n v="1"/>
    <n v="1"/>
    <n v="1"/>
    <n v="1"/>
    <n v="1"/>
    <s v="Cableado"/>
    <s v="N-A"/>
    <m/>
    <m/>
    <m/>
    <m/>
    <m/>
  </r>
  <r>
    <n v="281"/>
    <x v="2"/>
    <x v="1"/>
    <s v="Instalación, conexión y configuración. "/>
    <x v="2"/>
    <x v="153"/>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n v="0"/>
    <n v="0"/>
    <n v="0"/>
    <n v="1"/>
    <n v="0"/>
    <n v="1"/>
    <m/>
    <m/>
    <m/>
    <m/>
    <m/>
    <m/>
    <m/>
  </r>
  <r>
    <n v="281"/>
    <x v="2"/>
    <x v="1"/>
    <s v="Instalación, conexión y configuración. "/>
    <x v="2"/>
    <x v="7"/>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n v="1"/>
    <n v="0"/>
    <n v="1"/>
    <s v="Sonda multiparamétrica"/>
    <s v="HL4 "/>
    <m/>
    <m/>
    <m/>
    <m/>
    <m/>
  </r>
  <r>
    <n v="281"/>
    <x v="2"/>
    <x v="1"/>
    <s v="Instalación, conexión y configuración. "/>
    <x v="2"/>
    <x v="149"/>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n v="1"/>
    <n v="0"/>
    <n v="1"/>
    <s v="Sonda multiparamétrica"/>
    <s v="HL4"/>
    <m/>
    <m/>
    <m/>
    <m/>
    <m/>
  </r>
  <r>
    <n v="281"/>
    <x v="2"/>
    <x v="1"/>
    <s v="Instalación, conexión y configuración. "/>
    <x v="2"/>
    <x v="55"/>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n v="0"/>
    <n v="0"/>
    <n v="0"/>
    <n v="1"/>
    <n v="0"/>
    <n v="1"/>
    <s v="Otro"/>
    <s v="Flowcell original "/>
    <m/>
    <m/>
    <m/>
    <m/>
    <m/>
  </r>
  <r>
    <n v="281"/>
    <x v="2"/>
    <x v="1"/>
    <s v="Instalación, conexión y configuración. "/>
    <x v="2"/>
    <x v="142"/>
    <x v="3"/>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n v="0"/>
    <n v="0"/>
    <n v="0"/>
    <n v="1"/>
    <n v="0"/>
    <n v="1"/>
    <s v="Sonda multiparamétrica"/>
    <s v="HL4"/>
    <m/>
    <m/>
    <m/>
    <m/>
    <m/>
  </r>
  <r>
    <n v="291"/>
    <x v="2"/>
    <x v="1"/>
    <s v="Conexión y configuración "/>
    <x v="2"/>
    <x v="87"/>
    <x v="5"/>
    <d v="2025-11-21T00:00:00"/>
    <s v="Patricio cortes "/>
    <s v="Se hace cambio de flowcell artesanal por flowcell original de la marca quedando instalado e integrado, pendiente de cambio de sonda HL4 por problemas de medición de la sonda existente "/>
    <n v="5"/>
    <n v="0"/>
    <n v="0"/>
    <n v="0"/>
    <n v="1"/>
    <n v="0"/>
    <n v="1"/>
    <m/>
    <m/>
    <m/>
    <m/>
    <m/>
    <m/>
    <m/>
  </r>
  <r>
    <n v="291"/>
    <x v="2"/>
    <x v="1"/>
    <s v="Conexión y configuración "/>
    <x v="2"/>
    <x v="149"/>
    <x v="3"/>
    <d v="2025-11-21T00:00:00"/>
    <s v="Patricio cortes "/>
    <s v="Queda pendiente integrar la variable de nivel "/>
    <n v="5"/>
    <n v="0"/>
    <n v="0"/>
    <n v="0"/>
    <n v="1"/>
    <n v="0"/>
    <n v="1"/>
    <s v="Sonda multiparamétrica"/>
    <s v="HL4"/>
    <m/>
    <m/>
    <m/>
    <m/>
    <m/>
  </r>
  <r>
    <n v="291"/>
    <x v="2"/>
    <x v="1"/>
    <s v="Conexión y configuración "/>
    <x v="2"/>
    <x v="153"/>
    <x v="3"/>
    <d v="2025-11-21T00:00:00"/>
    <s v="Patricio cortes "/>
    <s v="Queda pendiente la integración ya que el regulador de carga presentaba inconsistencia en su funcionamiento "/>
    <n v="5"/>
    <n v="0"/>
    <n v="0"/>
    <n v="0"/>
    <n v="1"/>
    <n v="0"/>
    <n v="1"/>
    <s v="Sonda multiparamétrica"/>
    <s v="HL4"/>
    <m/>
    <m/>
    <m/>
    <m/>
    <m/>
  </r>
  <r>
    <n v="286"/>
    <x v="3"/>
    <x v="3"/>
    <s v="Integración de variables,  validación y adicionales"/>
    <x v="34"/>
    <x v="93"/>
    <x v="3"/>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n v="1"/>
    <n v="1"/>
    <n v="1"/>
    <n v="1"/>
    <n v="1"/>
    <n v="1"/>
    <s v="Cableado"/>
    <s v="N-A"/>
    <m/>
    <m/>
    <m/>
    <m/>
    <m/>
  </r>
  <r>
    <n v="284"/>
    <x v="13"/>
    <x v="3"/>
    <s v="Instalación de monitor, cable y configuración de sala de control"/>
    <x v="53"/>
    <x v="154"/>
    <x v="6"/>
    <d v="2025-11-21T00:00:00"/>
    <s v="Hernán Rojas"/>
    <s v="Se instala pantalla y se configura el monitos, queda pendiente la instalación del último monitor "/>
    <n v="5"/>
    <n v="1"/>
    <n v="1"/>
    <n v="1"/>
    <n v="1"/>
    <n v="1"/>
    <n v="1"/>
    <m/>
    <m/>
    <m/>
    <m/>
    <m/>
    <m/>
    <m/>
  </r>
  <r>
    <n v="289"/>
    <x v="8"/>
    <x v="1"/>
    <s v="Instalacion sonda HL4"/>
    <x v="2"/>
    <x v="155"/>
    <x v="0"/>
    <d v="2025-11-24T00:00:00"/>
    <s v="Patricio Cortés "/>
    <s v="Se realizó toma de datos manual de nivel dinámico del recinto con pozometro."/>
    <n v="5"/>
    <n v="1"/>
    <n v="1"/>
    <n v="0"/>
    <n v="0"/>
    <n v="0"/>
    <n v="1"/>
    <m/>
    <m/>
    <m/>
    <m/>
    <m/>
    <m/>
    <m/>
  </r>
  <r>
    <n v="289"/>
    <x v="8"/>
    <x v="1"/>
    <s v="Instalacion sonda HL4"/>
    <x v="2"/>
    <x v="64"/>
    <x v="3"/>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n v="1"/>
    <n v="1"/>
    <n v="0"/>
    <n v="0"/>
    <n v="0"/>
    <n v="1"/>
    <s v="Sonda multiparamétrica"/>
    <s v="HL4"/>
    <m/>
    <m/>
    <m/>
    <m/>
    <m/>
  </r>
  <r>
    <n v="288"/>
    <x v="6"/>
    <x v="3"/>
    <s v="Revisión sensores de nivel "/>
    <x v="0"/>
    <x v="25"/>
    <x v="0"/>
    <d v="2025-11-24T00:00:00"/>
    <s v="Gestión hidrica el soldado (Nicolas Valenzuela)"/>
    <s v="Se realizo medición del largo sensor de nivel."/>
    <n v="5"/>
    <n v="1"/>
    <n v="1"/>
    <n v="0"/>
    <n v="1"/>
    <n v="0"/>
    <n v="1"/>
    <m/>
    <m/>
    <m/>
    <m/>
    <m/>
    <m/>
    <m/>
  </r>
  <r>
    <n v="288"/>
    <x v="6"/>
    <x v="3"/>
    <s v="Revisión sensores de nivel "/>
    <x v="0"/>
    <x v="26"/>
    <x v="0"/>
    <d v="2025-11-24T00:00:00"/>
    <s v="Gestión hidrica el soldado (Nicolas Valenzuela)"/>
    <s v="Se realizo medición del largo sensor. "/>
    <n v="5"/>
    <n v="1"/>
    <n v="1"/>
    <n v="0"/>
    <n v="1"/>
    <n v="0"/>
    <n v="1"/>
    <m/>
    <m/>
    <m/>
    <m/>
    <m/>
    <m/>
    <m/>
  </r>
  <r>
    <n v="288"/>
    <x v="6"/>
    <x v="3"/>
    <s v="Revisión sensores de nivel "/>
    <x v="0"/>
    <x v="156"/>
    <x v="0"/>
    <d v="2025-11-24T00:00:00"/>
    <s v="Gestión hidrica el soldado (Nicolas Valenzuela)"/>
    <s v="Se realiza medición del largo de sensor "/>
    <n v="5"/>
    <n v="1"/>
    <n v="1"/>
    <n v="0"/>
    <n v="1"/>
    <n v="0"/>
    <n v="1"/>
    <m/>
    <m/>
    <m/>
    <m/>
    <m/>
    <m/>
    <m/>
  </r>
  <r>
    <n v="288"/>
    <x v="6"/>
    <x v="3"/>
    <s v="Revisión sensores de nivel "/>
    <x v="0"/>
    <x v="157"/>
    <x v="0"/>
    <d v="2025-11-24T00:00:00"/>
    <s v="Gestión hidrica el soldado (Nicolas Valenzuela)"/>
    <s v="Se realiza medición del largo sensor."/>
    <n v="5"/>
    <n v="1"/>
    <n v="1"/>
    <n v="0"/>
    <n v="1"/>
    <n v="0"/>
    <n v="1"/>
    <m/>
    <m/>
    <m/>
    <m/>
    <m/>
    <m/>
    <m/>
  </r>
  <r>
    <n v="288"/>
    <x v="6"/>
    <x v="3"/>
    <s v="Revisión sensores de nivel "/>
    <x v="0"/>
    <x v="30"/>
    <x v="0"/>
    <d v="2025-11-24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n v="1"/>
    <n v="1"/>
    <n v="0"/>
    <n v="1"/>
    <n v="0"/>
    <n v="1"/>
    <m/>
    <m/>
    <m/>
    <m/>
    <m/>
    <m/>
    <m/>
  </r>
  <r>
    <n v="288"/>
    <x v="6"/>
    <x v="3"/>
    <s v="Revisión sensores de nivel "/>
    <x v="0"/>
    <x v="158"/>
    <x v="0"/>
    <d v="2025-11-24T00:00:00"/>
    <s v="Gestión hidrica el soldado (Nicolas Valenzuela)"/>
    <s v="Se realizo medición del largo de sensor de nivel "/>
    <n v="5"/>
    <n v="1"/>
    <n v="1"/>
    <n v="0"/>
    <n v="1"/>
    <n v="0"/>
    <n v="1"/>
    <m/>
    <m/>
    <m/>
    <m/>
    <m/>
    <m/>
    <m/>
  </r>
  <r>
    <n v="287"/>
    <x v="9"/>
    <x v="4"/>
    <s v="Trabajos mejoramiento telemetria "/>
    <x v="12"/>
    <x v="46"/>
    <x v="0"/>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n v="0"/>
    <n v="0"/>
    <n v="0"/>
    <n v="0"/>
    <n v="0"/>
    <n v="1"/>
    <m/>
    <m/>
    <m/>
    <m/>
    <m/>
    <m/>
    <m/>
  </r>
  <r>
    <n v="310"/>
    <x v="5"/>
    <x v="3"/>
    <s v="Instalación de Gateway Dragino"/>
    <x v="28"/>
    <x v="76"/>
    <x v="0"/>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n v="1"/>
    <n v="1"/>
    <n v="1"/>
    <n v="1"/>
    <n v="1"/>
    <n v="1"/>
    <m/>
    <m/>
    <m/>
    <m/>
    <m/>
    <m/>
    <m/>
  </r>
  <r>
    <n v="310"/>
    <x v="5"/>
    <x v="3"/>
    <s v="Instalación de Gateway Dragino"/>
    <x v="28"/>
    <x v="89"/>
    <x v="0"/>
    <d v="2025-11-25T00:00:00"/>
    <s v="Benjamin Castillo"/>
    <s v="Se realiza alineación de antenas "/>
    <n v="5"/>
    <n v="1"/>
    <n v="1"/>
    <n v="1"/>
    <n v="1"/>
    <n v="1"/>
    <n v="1"/>
    <m/>
    <m/>
    <m/>
    <m/>
    <m/>
    <m/>
    <m/>
  </r>
  <r>
    <n v="293"/>
    <x v="2"/>
    <x v="1"/>
    <s v="Instalación, conexión, instalación de telemetría "/>
    <x v="2"/>
    <x v="33"/>
    <x v="3"/>
    <d v="2025-11-25T00:00:00"/>
    <s v="Patricio Cortes"/>
    <s v="Se genera el cambio del cambie de la sonda multiparametrica, debido a que la sonda existente tenía problemas para poder generar la comunicación entre la sonda multiparametrica hacia el conector sdi-12."/>
    <n v="5"/>
    <n v="0"/>
    <n v="0"/>
    <n v="0"/>
    <n v="1"/>
    <n v="0"/>
    <n v="1"/>
    <s v="Otro"/>
    <s v="Cable sonda multiparametrica "/>
    <m/>
    <m/>
    <m/>
    <m/>
    <m/>
  </r>
  <r>
    <n v="293"/>
    <x v="2"/>
    <x v="1"/>
    <s v="Instalación, conexión, instalación de telemetría "/>
    <x v="2"/>
    <x v="159"/>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Sonda multiparamétrica"/>
    <s v="HL4 "/>
    <m/>
    <m/>
    <m/>
    <m/>
    <m/>
  </r>
  <r>
    <n v="293"/>
    <x v="2"/>
    <x v="1"/>
    <s v="Instalación, conexión, instalación de telemetría "/>
    <x v="2"/>
    <x v="159"/>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Otro"/>
    <s v="Sutron"/>
    <m/>
    <m/>
    <m/>
    <m/>
    <m/>
  </r>
  <r>
    <n v="293"/>
    <x v="2"/>
    <x v="1"/>
    <s v="Instalación, conexión, instalación de telemetría "/>
    <x v="2"/>
    <x v="87"/>
    <x v="3"/>
    <d v="2025-11-25T00:00:00"/>
    <s v="Patricio Cortes"/>
    <s v="Se genera el cambio de la sonda multiparametrica debido a que la sonda existente se encontraba con problemas de medición de la variable de conductividad."/>
    <n v="5"/>
    <n v="0"/>
    <n v="0"/>
    <n v="0"/>
    <n v="1"/>
    <n v="0"/>
    <n v="1"/>
    <s v="Sonda multiparamétrica"/>
    <s v="HL4"/>
    <m/>
    <m/>
    <m/>
    <m/>
    <m/>
  </r>
  <r>
    <n v="293"/>
    <x v="2"/>
    <x v="1"/>
    <s v="Instalación, conexión, instalación de telemetría "/>
    <x v="2"/>
    <x v="58"/>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Sonda multiparamétrica"/>
    <s v="HL4 "/>
    <m/>
    <m/>
    <m/>
    <m/>
    <m/>
  </r>
  <r>
    <n v="293"/>
    <x v="2"/>
    <x v="1"/>
    <s v="Instalación, conexión, instalación de telemetría "/>
    <x v="2"/>
    <x v="58"/>
    <x v="3"/>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n v="0"/>
    <n v="0"/>
    <n v="0"/>
    <n v="1"/>
    <n v="0"/>
    <n v="1"/>
    <s v="Otro"/>
    <s v="Sutron "/>
    <m/>
    <m/>
    <m/>
    <m/>
    <m/>
  </r>
  <r>
    <n v="292"/>
    <x v="6"/>
    <x v="2"/>
    <s v="Revisión sensores "/>
    <x v="0"/>
    <x v="1"/>
    <x v="0"/>
    <d v="2025-11-25T00:00:00"/>
    <s v="Gestión hidrica el soldado (Nicolas Valenzuela)"/>
    <s v="Por solicitud, se realizo inspección de rebalse caudal 100% hacia estero._x000a_Se realizo inspección de válvulas qué estén 100% cortadas desde piscina ug hacia piscina 3800 y piscina 4.000."/>
    <n v="5"/>
    <n v="1"/>
    <n v="1"/>
    <n v="0"/>
    <n v="1"/>
    <n v="0"/>
    <n v="1"/>
    <m/>
    <m/>
    <m/>
    <m/>
    <m/>
    <m/>
    <m/>
  </r>
  <r>
    <n v="292"/>
    <x v="6"/>
    <x v="2"/>
    <s v="Revisión sensores "/>
    <x v="0"/>
    <x v="57"/>
    <x v="0"/>
    <d v="2025-11-25T00:00:00"/>
    <s v="Gestión hidrica el soldado (Nicolas Valenzuela)"/>
    <s v="Por solicitud se revisa el caudal hacia la piscina 3800 desde veta blanca y que la válvula esté al 100% el ingreso a la piscina "/>
    <n v="5"/>
    <n v="1"/>
    <n v="1"/>
    <n v="0"/>
    <n v="1"/>
    <n v="0"/>
    <n v="1"/>
    <m/>
    <m/>
    <m/>
    <m/>
    <m/>
    <m/>
    <m/>
  </r>
  <r>
    <n v="292"/>
    <x v="6"/>
    <x v="2"/>
    <s v="Revisión sensores "/>
    <x v="46"/>
    <x v="160"/>
    <x v="0"/>
    <d v="2025-11-25T00:00:00"/>
    <s v="Gestión hidrica el soldado (Nicolas Valenzuela)"/>
    <s v="Se realizo la medición de los sensor de nivel de los pozos el Melon._x000a_En pozo PEM  03 nos encontramos con la sorpresa que bandalizaron el panel solar del recinto. "/>
    <n v="5"/>
    <n v="1"/>
    <n v="1"/>
    <n v="0"/>
    <n v="1"/>
    <n v="0"/>
    <n v="1"/>
    <m/>
    <m/>
    <m/>
    <m/>
    <m/>
    <m/>
    <m/>
  </r>
  <r>
    <n v="292"/>
    <x v="6"/>
    <x v="2"/>
    <s v="Revisión sensores "/>
    <x v="0"/>
    <x v="50"/>
    <x v="0"/>
    <d v="2025-11-25T00:00:00"/>
    <s v="Gestión hidrica el soldado (Nicolas Valenzuela)"/>
    <s v="Realizamos medición del sensor de nivel del pozo P3a y P3b"/>
    <n v="5"/>
    <n v="1"/>
    <n v="1"/>
    <n v="0"/>
    <n v="1"/>
    <n v="0"/>
    <n v="1"/>
    <m/>
    <m/>
    <m/>
    <m/>
    <m/>
    <m/>
    <m/>
  </r>
  <r>
    <n v="290"/>
    <x v="9"/>
    <x v="4"/>
    <s v="Trabajos mejoramiento telemetría"/>
    <x v="12"/>
    <x v="46"/>
    <x v="0"/>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n v="1"/>
    <n v="1"/>
    <n v="0"/>
    <n v="0"/>
    <n v="0"/>
    <n v="1"/>
    <m/>
    <m/>
    <m/>
    <m/>
    <m/>
    <m/>
    <m/>
  </r>
  <r>
    <n v="290"/>
    <x v="9"/>
    <x v="4"/>
    <s v="Trabajos mejoramiento telemetría"/>
    <x v="12"/>
    <x v="132"/>
    <x v="0"/>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n v="1"/>
    <n v="1"/>
    <n v="0"/>
    <n v="0"/>
    <n v="0"/>
    <n v="1"/>
    <m/>
    <m/>
    <m/>
    <m/>
    <m/>
    <m/>
    <m/>
  </r>
  <r>
    <n v="317"/>
    <x v="12"/>
    <x v="3"/>
    <s v="Levantamiento tecnico nuevo punto"/>
    <x v="54"/>
    <x v="161"/>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n v="1"/>
    <n v="1"/>
    <n v="1"/>
    <n v="1"/>
    <n v="1"/>
    <n v="1"/>
    <m/>
    <m/>
    <m/>
    <m/>
    <m/>
    <m/>
    <m/>
  </r>
  <r>
    <n v="299"/>
    <x v="0"/>
    <x v="4"/>
    <s v="Revisión de guardado de datos telemetria "/>
    <x v="12"/>
    <x v="45"/>
    <x v="0"/>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n v="0"/>
    <n v="0"/>
    <n v="0"/>
    <n v="0"/>
    <n v="0"/>
    <n v="1"/>
    <m/>
    <m/>
    <m/>
    <m/>
    <m/>
    <m/>
    <m/>
  </r>
  <r>
    <n v="299"/>
    <x v="0"/>
    <x v="4"/>
    <s v="Revisión de guardado de datos telemetria "/>
    <x v="12"/>
    <x v="34"/>
    <x v="0"/>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n v="0"/>
    <n v="0"/>
    <n v="0"/>
    <n v="0"/>
    <n v="0"/>
    <n v="1"/>
    <m/>
    <m/>
    <m/>
    <m/>
    <m/>
    <m/>
    <m/>
  </r>
  <r>
    <n v="299"/>
    <x v="0"/>
    <x v="4"/>
    <s v="Revisión de guardado de datos telemetria "/>
    <x v="12"/>
    <x v="132"/>
    <x v="0"/>
    <d v="2025-11-26T00:00:00"/>
    <s v="Paula Riquelme "/>
    <s v="Se realiza retiro de inversor para posterior evaluación en laboratorio We._x000a__x000a_Se realiza chequeo de loggeo de datos en caudalimetro E, funciona correctamente._x000a_"/>
    <n v="5"/>
    <n v="0"/>
    <n v="0"/>
    <n v="0"/>
    <n v="0"/>
    <n v="0"/>
    <n v="1"/>
    <m/>
    <m/>
    <m/>
    <m/>
    <m/>
    <m/>
    <m/>
  </r>
  <r>
    <n v="311"/>
    <x v="5"/>
    <x v="3"/>
    <s v="Revisión de señal recinto "/>
    <x v="55"/>
    <x v="162"/>
    <x v="0"/>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n v="1"/>
    <n v="1"/>
    <n v="1"/>
    <n v="1"/>
    <n v="1"/>
    <n v="1"/>
    <m/>
    <m/>
    <m/>
    <m/>
    <m/>
    <m/>
    <m/>
  </r>
  <r>
    <n v="309"/>
    <x v="12"/>
    <x v="3"/>
    <s v="Servicio problemas en funcionamiento de bombas"/>
    <x v="33"/>
    <x v="88"/>
    <x v="0"/>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n v="1"/>
    <n v="1"/>
    <n v="0"/>
    <n v="0"/>
    <n v="0"/>
    <n v="1"/>
    <m/>
    <m/>
    <m/>
    <m/>
    <m/>
    <m/>
    <m/>
  </r>
  <r>
    <n v="302"/>
    <x v="6"/>
    <x v="2"/>
    <s v="Mantenimiento preventivo "/>
    <x v="0"/>
    <x v="0"/>
    <x v="0"/>
    <d v="2025-11-27T00:00:00"/>
    <s v="Gestión hidrica el soldado (Nicolas Valenzuela)"/>
    <s v="Por orden del cliente se realiza toma de fotografías del estado de piscina 4000"/>
    <n v="5"/>
    <n v="1"/>
    <n v="1"/>
    <n v="0"/>
    <n v="1"/>
    <n v="0"/>
    <n v="1"/>
    <m/>
    <m/>
    <m/>
    <m/>
    <m/>
    <m/>
    <m/>
  </r>
  <r>
    <n v="302"/>
    <x v="6"/>
    <x v="2"/>
    <s v="Mantenimiento preventivo "/>
    <x v="0"/>
    <x v="163"/>
    <x v="0"/>
    <d v="2025-11-27T00:00:00"/>
    <s v="Gestión hidrica el soldado (Nicolas Valenzuela)"/>
    <s v="Se realizo aumento de caudal en pozo PI 17 Y además inspección de pozo PI 20 ya había rebalse del pozo"/>
    <n v="5"/>
    <n v="1"/>
    <n v="1"/>
    <n v="0"/>
    <n v="1"/>
    <n v="0"/>
    <n v="1"/>
    <m/>
    <m/>
    <m/>
    <m/>
    <m/>
    <m/>
    <m/>
  </r>
  <r>
    <n v="302"/>
    <x v="6"/>
    <x v="2"/>
    <s v="Mantenimiento preventivo "/>
    <x v="0"/>
    <x v="164"/>
    <x v="0"/>
    <d v="2025-11-27T00:00:00"/>
    <s v="Gestión hidrica el soldado (Nicolas Valenzuela)"/>
    <s v="Se realizo mantenimiento preventivo, limpieza de panel reapriete de cables y limpieza de tableros"/>
    <n v="5"/>
    <n v="1"/>
    <n v="1"/>
    <n v="0"/>
    <n v="1"/>
    <n v="0"/>
    <n v="1"/>
    <m/>
    <m/>
    <m/>
    <m/>
    <m/>
    <m/>
    <m/>
  </r>
  <r>
    <n v="302"/>
    <x v="6"/>
    <x v="2"/>
    <s v="Mantenimiento preventivo "/>
    <x v="0"/>
    <x v="96"/>
    <x v="0"/>
    <d v="2025-11-27T00:00:00"/>
    <s v="Gestión hidrica el soldado (Nicolas Valenzuela)"/>
    <s v="Se realizo mantenimiento preventivo, limpieza de panel reapriete de cables y limpieza de tableros"/>
    <n v="5"/>
    <n v="1"/>
    <n v="1"/>
    <n v="0"/>
    <n v="1"/>
    <n v="0"/>
    <n v="1"/>
    <m/>
    <m/>
    <m/>
    <m/>
    <m/>
    <m/>
    <m/>
  </r>
  <r>
    <n v="302"/>
    <x v="6"/>
    <x v="2"/>
    <s v="Mantenimiento preventivo "/>
    <x v="46"/>
    <x v="165"/>
    <x v="0"/>
    <d v="2025-11-27T00:00:00"/>
    <s v="Gestión hidrica el soldado (Nicolas Valenzuela)"/>
    <s v="Se realizo mantenimiento preventivo, limpieza de panel reapriete de cables y limpieza de tableros"/>
    <n v="5"/>
    <n v="1"/>
    <n v="1"/>
    <n v="0"/>
    <n v="1"/>
    <n v="0"/>
    <n v="1"/>
    <m/>
    <m/>
    <m/>
    <m/>
    <m/>
    <m/>
    <m/>
  </r>
  <r>
    <n v="300"/>
    <x v="0"/>
    <x v="4"/>
    <s v="Verificación de lecturas en transmisores de caudalimetros no invasivos. "/>
    <x v="12"/>
    <x v="45"/>
    <x v="0"/>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n v="0"/>
    <n v="0"/>
    <n v="0"/>
    <n v="0"/>
    <n v="0"/>
    <n v="1"/>
    <m/>
    <m/>
    <m/>
    <m/>
    <m/>
    <m/>
    <m/>
  </r>
  <r>
    <n v="300"/>
    <x v="0"/>
    <x v="4"/>
    <s v="Verificación de lecturas en transmisores de caudalimetros no invasivos. "/>
    <x v="12"/>
    <x v="132"/>
    <x v="0"/>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n v="0"/>
    <n v="0"/>
    <n v="0"/>
    <n v="0"/>
    <n v="0"/>
    <n v="1"/>
    <m/>
    <m/>
    <m/>
    <m/>
    <m/>
    <m/>
    <m/>
  </r>
  <r>
    <n v="305"/>
    <x v="6"/>
    <x v="2"/>
    <s v="Mantenimiento preventivo "/>
    <x v="46"/>
    <x v="166"/>
    <x v="0"/>
    <d v="2025-11-28T00:00:00"/>
    <s v="Gestión hidrica el soldado (Nicolas Valenzuela)"/>
    <s v="Se realizo inspección visual y mantenimiento de cada punto. Mantenimiento tablero planta solar y tablero de telemetria PI 20_x000a_"/>
    <n v="5"/>
    <n v="1"/>
    <n v="1"/>
    <n v="0"/>
    <n v="1"/>
    <n v="0"/>
    <n v="1"/>
    <m/>
    <m/>
    <m/>
    <m/>
    <m/>
    <m/>
    <m/>
  </r>
  <r>
    <n v="304"/>
    <x v="8"/>
    <x v="1"/>
    <s v="Instalación de sonda multiparametrica e inventario de equipos nuevos"/>
    <x v="2"/>
    <x v="143"/>
    <x v="3"/>
    <d v="2025-11-28T00:00:00"/>
    <s v="Patricio Cortés "/>
    <s v="Tambien se realizó inventario en bodega AALT, así quedando documentado la cantidad de equipos nuevos con su correspondiente numero serial."/>
    <n v="5"/>
    <n v="1"/>
    <n v="1"/>
    <n v="0"/>
    <n v="0"/>
    <n v="1"/>
    <n v="1"/>
    <s v="Sonda multiparamétrica"/>
    <s v="HL4"/>
    <m/>
    <m/>
    <m/>
    <m/>
    <m/>
  </r>
  <r>
    <n v="308"/>
    <x v="6"/>
    <x v="2"/>
    <s v="Mantenimiento preventivo "/>
    <x v="0"/>
    <x v="59"/>
    <x v="0"/>
    <d v="2025-12-01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n v="1"/>
    <n v="1"/>
    <n v="0"/>
    <n v="1"/>
    <n v="0"/>
    <n v="1"/>
    <m/>
    <m/>
    <m/>
    <m/>
    <m/>
    <m/>
    <m/>
  </r>
  <r>
    <n v="306"/>
    <x v="0"/>
    <x v="1"/>
    <s v="Implementación de telemetria "/>
    <x v="2"/>
    <x v="153"/>
    <x v="0"/>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n v="0"/>
    <n v="0"/>
    <n v="0"/>
    <n v="1"/>
    <n v="0"/>
    <n v="1"/>
    <m/>
    <m/>
    <m/>
    <m/>
    <m/>
    <m/>
    <m/>
  </r>
  <r>
    <n v="306"/>
    <x v="0"/>
    <x v="1"/>
    <s v="Implementación de telemetria "/>
    <x v="56"/>
    <x v="167"/>
    <x v="0"/>
    <d v="2025-12-01T00:00:00"/>
    <s v="Patricio Cortes"/>
    <s v="Se almacenan sondas Multiparamétricas dentro de container (7), además de la cantidad de baterías y cajas estanco dejadas en bodega de oficina. "/>
    <n v="5"/>
    <n v="0"/>
    <n v="0"/>
    <n v="0"/>
    <n v="1"/>
    <n v="0"/>
    <n v="1"/>
    <m/>
    <m/>
    <m/>
    <m/>
    <m/>
    <m/>
    <m/>
  </r>
  <r>
    <n v="314"/>
    <x v="0"/>
    <x v="1"/>
    <s v="Inspección, validación SMA"/>
    <x v="2"/>
    <x v="64"/>
    <x v="5"/>
    <d v="2025-12-02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n v="0"/>
    <n v="0"/>
    <n v="0"/>
    <n v="1"/>
    <n v="0"/>
    <n v="1"/>
    <m/>
    <m/>
    <m/>
    <m/>
    <m/>
    <m/>
    <m/>
  </r>
  <r>
    <n v="314"/>
    <x v="0"/>
    <x v="1"/>
    <s v="Inspección, validación SMA"/>
    <x v="2"/>
    <x v="153"/>
    <x v="0"/>
    <d v="2025-12-02T00:00:00"/>
    <s v="Patricio Cortés "/>
    <s v="Se registra el valor de profundidad del pozo hasta el espejo de agua siendo de 73 metros_x000a_Los valores obtenidos se informan a área de automatización para reflejarlo en plataforma"/>
    <n v="5"/>
    <n v="0"/>
    <n v="0"/>
    <n v="0"/>
    <n v="1"/>
    <n v="0"/>
    <n v="1"/>
    <m/>
    <m/>
    <m/>
    <m/>
    <m/>
    <m/>
    <m/>
  </r>
  <r>
    <n v="313"/>
    <x v="6"/>
    <x v="2"/>
    <s v="Mantenimiento preventivo "/>
    <x v="46"/>
    <x v="168"/>
    <x v="0"/>
    <d v="2025-12-02T00:00:00"/>
    <s v="Gestión hidrica el soldado (Nicolas Valenzuela)"/>
    <s v="Se realizo check list de herramientas. _x000a_Se realiza marca de herramientas con 3 cintas correspondientes al mes de diciembre."/>
    <n v="5"/>
    <n v="1"/>
    <n v="1"/>
    <n v="0"/>
    <n v="1"/>
    <n v="0"/>
    <n v="1"/>
    <m/>
    <m/>
    <m/>
    <m/>
    <m/>
    <m/>
    <m/>
  </r>
  <r>
    <n v="313"/>
    <x v="6"/>
    <x v="2"/>
    <s v="Mantenimiento preventivo "/>
    <x v="0"/>
    <x v="27"/>
    <x v="0"/>
    <d v="2025-12-02T00:00:00"/>
    <s v="Gestión hidrica el soldado (Nicolas Valenzuela)"/>
    <s v="Se realizo mantenimiento preventivo. Limpieza de panel solar._x000a_Se decide no seguir con la ejecución por la presencia de avispas."/>
    <n v="5"/>
    <n v="1"/>
    <n v="1"/>
    <n v="0"/>
    <n v="1"/>
    <n v="0"/>
    <n v="1"/>
    <m/>
    <m/>
    <m/>
    <m/>
    <m/>
    <m/>
    <m/>
  </r>
  <r>
    <n v="313"/>
    <x v="6"/>
    <x v="2"/>
    <s v="Mantenimiento preventivo "/>
    <x v="0"/>
    <x v="28"/>
    <x v="0"/>
    <d v="2025-12-02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n v="1"/>
    <n v="1"/>
    <n v="0"/>
    <n v="1"/>
    <n v="0"/>
    <n v="1"/>
    <m/>
    <m/>
    <m/>
    <m/>
    <m/>
    <m/>
    <m/>
  </r>
  <r>
    <n v="313"/>
    <x v="6"/>
    <x v="2"/>
    <s v="Mantenimiento preventivo "/>
    <x v="0"/>
    <x v="4"/>
    <x v="0"/>
    <d v="2025-12-02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n v="1"/>
    <n v="1"/>
    <n v="0"/>
    <n v="1"/>
    <n v="0"/>
    <n v="1"/>
    <m/>
    <m/>
    <m/>
    <m/>
    <m/>
    <m/>
    <m/>
  </r>
  <r>
    <n v="312"/>
    <x v="9"/>
    <x v="4"/>
    <s v="Mantenimiento correctivo"/>
    <x v="2"/>
    <x v="99"/>
    <x v="0"/>
    <d v="2025-12-02T00:00:00"/>
    <s v="Paula Riquelme"/>
    <s v="En base al cambio de flujometro realizado por empresa Quinta el día 28/11/25, se efectua el reconexionado de la lectura modbus en el equipo y su configuración para la recuperación de la lectura en telemetria. "/>
    <n v="5"/>
    <n v="0"/>
    <n v="0"/>
    <n v="0"/>
    <n v="1"/>
    <n v="0"/>
    <n v="1"/>
    <m/>
    <m/>
    <m/>
    <m/>
    <m/>
    <m/>
    <m/>
  </r>
  <r>
    <n v="312"/>
    <x v="9"/>
    <x v="4"/>
    <s v="Mantenimiento correctivo"/>
    <x v="2"/>
    <x v="169"/>
    <x v="0"/>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n v="0"/>
    <n v="0"/>
    <n v="0"/>
    <n v="1"/>
    <n v="0"/>
    <n v="1"/>
    <m/>
    <m/>
    <m/>
    <m/>
    <m/>
    <m/>
    <m/>
  </r>
  <r>
    <n v="312"/>
    <x v="9"/>
    <x v="4"/>
    <s v="Mantenimiento correctivo"/>
    <x v="2"/>
    <x v="80"/>
    <x v="0"/>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n v="0"/>
    <n v="0"/>
    <n v="0"/>
    <n v="1"/>
    <n v="0"/>
    <n v="1"/>
    <m/>
    <m/>
    <m/>
    <m/>
    <m/>
    <m/>
    <m/>
  </r>
  <r>
    <n v="312"/>
    <x v="9"/>
    <x v="4"/>
    <s v="Mantenimiento correctivo"/>
    <x v="2"/>
    <x v="135"/>
    <x v="0"/>
    <d v="2025-12-02T00:00:00"/>
    <s v="Paula Riquelme"/>
    <s v="Se regulariza inconsistencia de pozo dado que caudal tiene intervalos de valor 0 mientras la bomba funciona, la lectura modbus presenta un error en programación el cual es regularizado y se valida el caudal en terreno."/>
    <n v="5"/>
    <n v="0"/>
    <n v="0"/>
    <n v="0"/>
    <n v="1"/>
    <n v="0"/>
    <n v="1"/>
    <m/>
    <m/>
    <m/>
    <m/>
    <m/>
    <m/>
    <m/>
  </r>
  <r>
    <n v="315"/>
    <x v="0"/>
    <x v="2"/>
    <s v="Levantamiento - Cambio de tarjeta SIM. "/>
    <x v="0"/>
    <x v="170"/>
    <x v="5"/>
    <d v="2025-12-03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n v="1"/>
    <n v="1"/>
    <n v="0"/>
    <n v="1"/>
    <n v="0"/>
    <n v="1"/>
    <m/>
    <m/>
    <m/>
    <m/>
    <m/>
    <m/>
    <m/>
  </r>
  <r>
    <n v="315"/>
    <x v="0"/>
    <x v="2"/>
    <s v="Levantamiento - Cambio de tarjeta SIM. "/>
    <x v="0"/>
    <x v="171"/>
    <x v="0"/>
    <d v="2025-12-03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n v="1"/>
    <n v="1"/>
    <n v="0"/>
    <n v="1"/>
    <n v="0"/>
    <n v="1"/>
    <m/>
    <m/>
    <m/>
    <m/>
    <m/>
    <m/>
    <m/>
  </r>
  <r>
    <n v="315"/>
    <x v="0"/>
    <x v="2"/>
    <s v="Levantamiento - Cambio de tarjeta SIM. "/>
    <x v="0"/>
    <x v="172"/>
    <x v="0"/>
    <d v="2025-12-03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n v="1"/>
    <n v="1"/>
    <n v="0"/>
    <n v="1"/>
    <n v="0"/>
    <n v="1"/>
    <m/>
    <m/>
    <m/>
    <m/>
    <m/>
    <m/>
    <m/>
  </r>
  <r>
    <n v="318"/>
    <x v="0"/>
    <x v="2"/>
    <s v="Mantenimiento preventivo "/>
    <x v="0"/>
    <x v="61"/>
    <x v="0"/>
    <d v="2025-12-04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n v="1"/>
    <n v="0"/>
    <n v="0"/>
    <n v="1"/>
    <n v="0"/>
    <n v="1"/>
    <m/>
    <m/>
    <m/>
    <m/>
    <m/>
    <m/>
    <m/>
  </r>
  <r>
    <n v="318"/>
    <x v="0"/>
    <x v="2"/>
    <s v="Mantenimiento preventivo "/>
    <x v="0"/>
    <x v="86"/>
    <x v="0"/>
    <d v="2025-12-04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n v="1"/>
    <n v="0"/>
    <n v="0"/>
    <n v="1"/>
    <n v="0"/>
    <n v="1"/>
    <m/>
    <m/>
    <m/>
    <m/>
    <m/>
    <m/>
    <m/>
  </r>
  <r>
    <n v="327"/>
    <x v="0"/>
    <x v="2"/>
    <s v="Actualización de datos en softwares"/>
    <x v="0"/>
    <x v="62"/>
    <x v="0"/>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n v="1"/>
    <n v="0"/>
    <n v="0"/>
    <n v="1"/>
    <n v="0"/>
    <n v="1"/>
    <m/>
    <m/>
    <m/>
    <m/>
    <m/>
    <m/>
    <m/>
  </r>
  <r>
    <n v="327"/>
    <x v="0"/>
    <x v="2"/>
    <s v="Actualización de datos en softwares"/>
    <x v="57"/>
    <x v="173"/>
    <x v="0"/>
    <d v="2025-12-05T00:00:00"/>
    <s v="Superintendencia de recursos hidricos "/>
    <s v="Se realiza inspección general de los puntos PI17, 18, 19 y 20._x000a_Se encuentra fuga en el punto PI20 por el lado de radier del pozo. "/>
    <n v="5"/>
    <n v="1"/>
    <n v="0"/>
    <n v="0"/>
    <n v="1"/>
    <n v="0"/>
    <n v="1"/>
    <m/>
    <m/>
    <m/>
    <m/>
    <m/>
    <m/>
    <m/>
  </r>
  <r>
    <n v="322"/>
    <x v="2"/>
    <x v="1"/>
    <s v="Validación de variables "/>
    <x v="58"/>
    <x v="174"/>
    <x v="5"/>
    <d v="2025-12-09T00:00:00"/>
    <s v="Patricio Cortes "/>
    <s v="Se realiza revicion de variables en los recintos "/>
    <n v="5"/>
    <n v="0"/>
    <n v="0"/>
    <n v="0"/>
    <n v="1"/>
    <n v="0"/>
    <n v="1"/>
    <m/>
    <m/>
    <m/>
    <m/>
    <m/>
    <m/>
    <m/>
  </r>
  <r>
    <n v="321"/>
    <x v="4"/>
    <x v="2"/>
    <s v="Inspección de contingencias."/>
    <x v="59"/>
    <x v="175"/>
    <x v="0"/>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n v="1"/>
    <n v="1"/>
    <n v="0"/>
    <n v="1"/>
    <n v="0"/>
    <n v="1"/>
    <m/>
    <m/>
    <m/>
    <m/>
    <m/>
    <m/>
    <m/>
  </r>
  <r>
    <n v="321"/>
    <x v="4"/>
    <x v="2"/>
    <s v="Inspección de contingencias."/>
    <x v="0"/>
    <x v="59"/>
    <x v="0"/>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n v="1"/>
    <n v="1"/>
    <n v="0"/>
    <n v="1"/>
    <n v="0"/>
    <n v="1"/>
    <m/>
    <m/>
    <m/>
    <m/>
    <m/>
    <m/>
    <m/>
  </r>
  <r>
    <n v="320"/>
    <x v="0"/>
    <x v="4"/>
    <s v="Transporte de materiales "/>
    <x v="12"/>
    <x v="176"/>
    <x v="0"/>
    <d v="2025-12-09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n v="0"/>
    <n v="1"/>
    <n v="0"/>
    <n v="1"/>
    <n v="0"/>
    <n v="1"/>
    <m/>
    <m/>
    <m/>
    <m/>
    <m/>
    <m/>
    <m/>
  </r>
  <r>
    <n v="326"/>
    <x v="4"/>
    <x v="2"/>
    <s v="Evaluación de trabajos y mantenimiento."/>
    <x v="0"/>
    <x v="59"/>
    <x v="0"/>
    <d v="2025-12-10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n v="1"/>
    <n v="1"/>
    <n v="1"/>
    <n v="1"/>
    <n v="1"/>
    <n v="1"/>
    <m/>
    <m/>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Tablero"/>
    <s v="Tablero nodo lora"/>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Caudalímetro Mecánico"/>
    <s v="Mecánico "/>
    <m/>
    <m/>
    <m/>
    <m/>
    <m/>
  </r>
  <r>
    <n v="326"/>
    <x v="4"/>
    <x v="2"/>
    <s v="Evaluación de trabajos y mantenimiento."/>
    <x v="0"/>
    <x v="60"/>
    <x v="2"/>
    <d v="2025-12-10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n v="1"/>
    <n v="1"/>
    <n v="1"/>
    <n v="1"/>
    <n v="1"/>
    <n v="1"/>
    <s v="Sensor de nivel"/>
    <s v="Keller PR-36XS"/>
    <m/>
    <m/>
    <m/>
    <m/>
    <m/>
  </r>
  <r>
    <n v="325"/>
    <x v="0"/>
    <x v="4"/>
    <s v="Traslado de materiales "/>
    <x v="12"/>
    <x v="46"/>
    <x v="0"/>
    <d v="2025-12-10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n v="1"/>
    <n v="1"/>
    <n v="0"/>
    <n v="0"/>
    <n v="0"/>
    <n v="1"/>
    <m/>
    <m/>
    <m/>
    <m/>
    <m/>
    <m/>
    <m/>
  </r>
  <r>
    <n v="324"/>
    <x v="3"/>
    <x v="3"/>
    <s v="Mantenimiento "/>
    <x v="2"/>
    <x v="155"/>
    <x v="1"/>
    <d v="2025-12-10T00:00:00"/>
    <s v="Paula Riquelme "/>
    <s v="Fimar de pt ok._x000a_Traspaso de área por dueño de zona stp ok._x000a_Documentos pt, det y aisalación y bloqueo ok y validados._x000a_Cambio de sensor ok._x000a_Validación de datos en plataforma y terreno ok._x000a_"/>
    <n v="5"/>
    <n v="0"/>
    <n v="0"/>
    <n v="0"/>
    <n v="1"/>
    <n v="0"/>
    <n v="1"/>
    <s v="Sensor de nivel"/>
    <s v="Flux 0-10 bar 80 mts"/>
    <m/>
    <m/>
    <m/>
    <m/>
    <m/>
  </r>
  <r>
    <n v="330"/>
    <x v="9"/>
    <x v="4"/>
    <s v="Avanze instalación solar 2700"/>
    <x v="12"/>
    <x v="46"/>
    <x v="0"/>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n v="1"/>
    <n v="1"/>
    <n v="1"/>
    <n v="1"/>
    <n v="1"/>
    <n v="1"/>
    <m/>
    <m/>
    <m/>
    <m/>
    <m/>
    <m/>
    <m/>
  </r>
  <r>
    <n v="329"/>
    <x v="3"/>
    <x v="3"/>
    <s v="Mantenimiento Preventivo "/>
    <x v="0"/>
    <x v="53"/>
    <x v="2"/>
    <d v="2025-12-11T00:00:00"/>
    <s v="Nicolas Valenzuela "/>
    <s v="Se realiza ronda de inspección en barrera hidráulica pozos de inyección. Ronda ok._x000a_Mantenimiento a PEM, se reliaza limpieza de equipos, panel solar y validación de datos de terreno con recepcinados por Uc300. "/>
    <n v="5"/>
    <n v="1"/>
    <n v="1"/>
    <n v="0"/>
    <n v="1"/>
    <n v="0"/>
    <n v="1"/>
    <s v="Otro"/>
    <s v="Caudalimetro mecánico DN50 "/>
    <m/>
    <m/>
    <m/>
    <m/>
    <m/>
  </r>
  <r>
    <n v="334"/>
    <x v="0"/>
    <x v="2"/>
    <s v="Traslado gateway"/>
    <x v="0"/>
    <x v="177"/>
    <x v="0"/>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n v="1"/>
    <n v="0"/>
    <n v="0"/>
    <n v="1"/>
    <n v="0"/>
    <n v="1"/>
    <m/>
    <m/>
    <s v="S/N PNEB-7419"/>
    <s v="Número de serie de sonda retirada: MC-14970EE_x000a__x000a_Número de serie de sonda instalada: S/N PNEB-7419_x000a_"/>
    <m/>
    <m/>
    <m/>
  </r>
  <r>
    <n v="338"/>
    <x v="0"/>
    <x v="2"/>
    <s v="Mantenimiento "/>
    <x v="0"/>
    <x v="63"/>
    <x v="0"/>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n v="1"/>
    <n v="0"/>
    <n v="0"/>
    <n v="1"/>
    <n v="0"/>
    <n v="1"/>
    <m/>
    <m/>
    <s v="…"/>
    <m/>
    <m/>
    <m/>
    <m/>
  </r>
  <r>
    <n v="337"/>
    <x v="3"/>
    <x v="3"/>
    <s v="Integración Red Lora"/>
    <x v="2"/>
    <x v="178"/>
    <x v="3"/>
    <d v="2025-12-16T00:00:00"/>
    <s v="Paula Riquelme "/>
    <s v="Levantamiento de punto caido por falla pila PLC._x000a_Se ajusta voltaje de fuente de ups de 24v a 27,43._x000a_Integración de conversor Rs485 y equipo Lora + antena._x000a_Configuración de telemetria ok + validación de datos."/>
    <n v="5"/>
    <n v="1"/>
    <n v="1"/>
    <n v="1"/>
    <n v="1"/>
    <n v="0"/>
    <n v="1"/>
    <s v="Otro"/>
    <s v="N/A"/>
    <s v="…"/>
    <m/>
    <m/>
    <m/>
    <m/>
  </r>
  <r>
    <n v="336"/>
    <x v="9"/>
    <x v="4"/>
    <s v="Instalación solucion solar R2700"/>
    <x v="12"/>
    <x v="46"/>
    <x v="0"/>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n v="1"/>
    <n v="1"/>
    <n v="1"/>
    <n v="1"/>
    <n v="1"/>
    <n v="1"/>
    <m/>
    <m/>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m/>
    <m/>
    <m/>
  </r>
  <r>
    <n v="340"/>
    <x v="9"/>
    <x v="4"/>
    <s v="Instalación solución solar R2700"/>
    <x v="12"/>
    <x v="46"/>
    <x v="0"/>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n v="1"/>
    <n v="1"/>
    <n v="1"/>
    <n v="1"/>
    <n v="1"/>
    <n v="1"/>
    <m/>
    <m/>
    <s v="162"/>
    <s v="Entrega de materiales para montaje por parte de SS en VB"/>
    <m/>
    <m/>
    <m/>
  </r>
  <r>
    <n v="339"/>
    <x v="0"/>
    <x v="2"/>
    <s v="Mantenimiento"/>
    <x v="0"/>
    <x v="158"/>
    <x v="0"/>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n v="1"/>
    <n v="0"/>
    <n v="0"/>
    <n v="1"/>
    <n v="0"/>
    <n v="1"/>
    <m/>
    <m/>
    <s v="21316H405164"/>
    <m/>
    <m/>
    <m/>
    <m/>
  </r>
  <r>
    <n v="339"/>
    <x v="0"/>
    <x v="2"/>
    <s v="Mantenimiento"/>
    <x v="0"/>
    <x v="179"/>
    <x v="0"/>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n v="1"/>
    <n v="0"/>
    <n v="0"/>
    <n v="1"/>
    <n v="0"/>
    <n v="1"/>
    <m/>
    <m/>
    <s v="N/A"/>
    <s v="Queda pendiente red de anillo fibra óptica y validar comunicación más enlace de red en tableros. Se visitan zona 2.1 y 2.2 en las cuales falta la canalización entre tableros we y de señales de intercambiador de calor bacnet. "/>
    <m/>
    <m/>
    <m/>
  </r>
  <r>
    <n v="342"/>
    <x v="0"/>
    <x v="2"/>
    <s v="Mantenimiento - soporte"/>
    <x v="0"/>
    <x v="177"/>
    <x v="0"/>
    <d v="2025-12-18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n v="1"/>
    <n v="0"/>
    <n v="0"/>
    <n v="1"/>
    <n v="0"/>
    <n v="1"/>
    <m/>
    <m/>
    <s v="…"/>
    <m/>
    <m/>
    <m/>
    <m/>
  </r>
  <r>
    <n v="342"/>
    <x v="0"/>
    <x v="2"/>
    <s v="Mantenimiento - soporte"/>
    <x v="0"/>
    <x v="157"/>
    <x v="0"/>
    <d v="2025-12-18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n v="1"/>
    <n v="0"/>
    <n v="0"/>
    <n v="1"/>
    <n v="0"/>
    <n v="1"/>
    <m/>
    <m/>
    <s v="25023H405974"/>
    <m/>
    <m/>
    <m/>
    <m/>
  </r>
  <r>
    <n v="341"/>
    <x v="9"/>
    <x v="4"/>
    <s v="Instalacion solucion solar R2700"/>
    <x v="12"/>
    <x v="46"/>
    <x v="0"/>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n v="1"/>
    <n v="1"/>
    <n v="1"/>
    <n v="1"/>
    <n v="1"/>
    <n v="1"/>
    <m/>
    <m/>
    <s v="21351H405178"/>
    <m/>
    <m/>
    <m/>
    <m/>
  </r>
  <r>
    <n v="347"/>
    <x v="6"/>
    <x v="2"/>
    <s v="Mantenimiento preventivo "/>
    <x v="0"/>
    <x v="156"/>
    <x v="0"/>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n v="1"/>
    <n v="1"/>
    <n v="0"/>
    <n v="1"/>
    <n v="0"/>
    <n v="1"/>
    <m/>
    <m/>
    <s v="21351H405178"/>
    <m/>
    <m/>
    <m/>
    <m/>
  </r>
  <r>
    <n v="345"/>
    <x v="0"/>
    <x v="4"/>
    <s v="Obtención de permisos de trabajo_x000a_Coordinación para bloqueo eléctrico "/>
    <x v="60"/>
    <x v="180"/>
    <x v="5"/>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n v="0"/>
    <n v="0"/>
    <n v="1"/>
    <m/>
    <m/>
    <s v="…"/>
    <m/>
    <m/>
    <m/>
    <m/>
  </r>
  <r>
    <n v="345"/>
    <x v="0"/>
    <x v="4"/>
    <s v="Obtención de permisos de trabajo_x000a_Coordinación para bloqueo eléctrico "/>
    <x v="60"/>
    <x v="180"/>
    <x v="0"/>
    <d v="2025-12-22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n v="0"/>
    <n v="0"/>
    <n v="0"/>
    <n v="0"/>
    <n v="0"/>
    <n v="1"/>
    <m/>
    <m/>
    <s v="..."/>
    <s v="..."/>
    <m/>
    <m/>
    <m/>
  </r>
  <r>
    <n v="344"/>
    <x v="1"/>
    <x v="3"/>
    <s v="Garantía sala de control "/>
    <x v="61"/>
    <x v="181"/>
    <x v="6"/>
    <d v="2025-12-22T00:00:00"/>
    <s v="Lipigas "/>
    <s v="Se realiza cambio de pantalla en garantía. Se retira pantalla pendiente te de gestión "/>
    <n v="5"/>
    <n v="1"/>
    <n v="1"/>
    <n v="1"/>
    <n v="1"/>
    <n v="1"/>
    <n v="1"/>
    <m/>
    <m/>
    <s v="..."/>
    <s v="..."/>
    <m/>
    <m/>
    <m/>
  </r>
  <r>
    <n v="351"/>
    <x v="6"/>
    <x v="2"/>
    <s v="Mantenimiento preventivo "/>
    <x v="46"/>
    <x v="15"/>
    <x v="0"/>
    <d v="2025-12-23T00:00:00"/>
    <s v="Gestión hidrica el soldado (Nicolas Valenzuela)"/>
    <s v="Fuimos a retirar el tablero galileo y lo trasladamos hacia el soldado."/>
    <n v="5"/>
    <n v="1"/>
    <n v="1"/>
    <n v="0"/>
    <n v="1"/>
    <n v="0"/>
    <n v="1"/>
    <m/>
    <m/>
    <s v="1233551"/>
    <s v="Queda solo pendiente conectar en tablero al interior de sala eléctrica. Necesitamos apoyo eléctrico de AA"/>
    <m/>
    <m/>
    <m/>
  </r>
  <r>
    <n v="351"/>
    <x v="6"/>
    <x v="2"/>
    <s v="Mantenimiento preventivo "/>
    <x v="0"/>
    <x v="26"/>
    <x v="0"/>
    <d v="2025-12-23T00:00:00"/>
    <s v="Gestión hidrica el soldado (Nicolas Valenzuela)"/>
    <s v="Realizamos el mantenimiento preventivo, limpieza de tableros y  sensores._x000a_Se realizo reapriete de terminales, revisión de plataforma comparaciones con los datos de terreno "/>
    <n v="5"/>
    <n v="1"/>
    <n v="1"/>
    <n v="0"/>
    <n v="1"/>
    <n v="0"/>
    <n v="1"/>
    <m/>
    <m/>
    <s v="23306373"/>
    <m/>
    <m/>
    <m/>
    <m/>
  </r>
  <r>
    <n v="349"/>
    <x v="9"/>
    <x v="4"/>
    <s v="Implentación telemetría BN12"/>
    <x v="62"/>
    <x v="182"/>
    <x v="0"/>
    <d v="2025-12-23T00:00:00"/>
    <s v="Paula Riquelme "/>
    <s v="Avance en conexionado de telemetria en pozo BN12, se incia con la gestión del bloqueo electrico con apoyo AA y se incia con los trabajos de conexionado._x000a_"/>
    <n v="5"/>
    <n v="0"/>
    <n v="0"/>
    <n v="0"/>
    <n v="0"/>
    <n v="0"/>
    <n v="1"/>
    <m/>
    <m/>
    <s v="Nodo 4"/>
    <m/>
    <m/>
    <m/>
    <m/>
  </r>
  <r>
    <n v="348"/>
    <x v="1"/>
    <x v="3"/>
    <s v="Revisión e integracion de sensor de nivel de pozo 24 "/>
    <x v="1"/>
    <x v="6"/>
    <x v="0"/>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n v="1"/>
    <n v="1"/>
    <n v="1"/>
    <n v="1"/>
    <n v="1"/>
    <n v="1"/>
    <m/>
    <m/>
    <s v="P3B"/>
    <m/>
    <m/>
    <m/>
    <m/>
  </r>
  <r>
    <n v="356"/>
    <x v="9"/>
    <x v="4"/>
    <s v="Implementacion BN12"/>
    <x v="2"/>
    <x v="183"/>
    <x v="0"/>
    <d v="2025-12-24T00:00:00"/>
    <s v="Paula Riquelme "/>
    <s v="Se finaliza el conexionado telemetria del pozo BN12 dejando el punto debidamente alimentado. Junto con el apoyo electrico de AA se hace el desbloqueo del tablero y la entrega del área de trabajo._x000a_"/>
    <n v="5"/>
    <n v="1"/>
    <n v="1"/>
    <n v="1"/>
    <n v="1"/>
    <n v="1"/>
    <n v="1"/>
    <m/>
    <m/>
    <s v="Nodo 164"/>
    <m/>
    <m/>
    <m/>
    <m/>
  </r>
  <r>
    <n v="353"/>
    <x v="6"/>
    <x v="2"/>
    <s v="Mantenimiento preventivo "/>
    <x v="0"/>
    <x v="25"/>
    <x v="0"/>
    <d v="2025-12-24T00:00:00"/>
    <s v="Gestión hidrica el soldado (Nicolas Valenzuela)"/>
    <s v="Realizamos mantenimiento preventivo,  limpieza de tableros, reapriete de terminales._x000a_Revisión de plataforma y comparación con datos en terreno. "/>
    <n v="5"/>
    <n v="1"/>
    <n v="1"/>
    <n v="0"/>
    <n v="1"/>
    <n v="0"/>
    <n v="1"/>
    <m/>
    <m/>
    <s v="NA"/>
    <s v="Datos observados en asset gateway Planta"/>
    <m/>
    <m/>
    <m/>
  </r>
  <r>
    <n v="355"/>
    <x v="6"/>
    <x v="2"/>
    <s v="Mantenimiento preventivo "/>
    <x v="46"/>
    <x v="123"/>
    <x v="0"/>
    <d v="2025-12-26T00:00:00"/>
    <s v="Gestión hidrica el soldado (Nicolas Valenzuela)"/>
    <s v="Realizamos trabajos administrativos, además Realizamos pruebas de equipo galileo._x000a_También se realizo entrega de pozometro qué se quedó trabado a la empresa SGS en PLL 4."/>
    <n v="5"/>
    <n v="1"/>
    <n v="1"/>
    <n v="0"/>
    <n v="1"/>
    <n v="0"/>
    <n v="1"/>
    <m/>
    <m/>
    <s v="..."/>
    <s v="No se deja instalada la sonda multiparamétrica en el punto._x000a_"/>
    <m/>
    <m/>
    <m/>
  </r>
  <r>
    <n v="359"/>
    <x v="3"/>
    <x v="3"/>
    <s v="Configuración modbus y contratación datos zona 1"/>
    <x v="34"/>
    <x v="93"/>
    <x v="3"/>
    <d v="2025-12-29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n v="1"/>
    <n v="1"/>
    <n v="1"/>
    <n v="1"/>
    <n v="0"/>
    <n v="1"/>
    <s v="Otro"/>
    <s v="N/A"/>
    <s v="..."/>
    <s v="No sé deja instalada la sonda multiparamétrica en el punto"/>
    <m/>
    <m/>
    <m/>
  </r>
  <r>
    <n v="357"/>
    <x v="6"/>
    <x v="2"/>
    <s v="Mantenimiento preventivo "/>
    <x v="46"/>
    <x v="184"/>
    <x v="0"/>
    <d v="2025-12-29T00:00:00"/>
    <s v="Gestión hidrica el soldado (Nicolas Valenzuela)"/>
    <s v="Realizamos instalación de nuevo equipo Galileo _x000a_Se instala en pi ping de barrera hidráulica los transductores del caudalimetro no invasivo del equipo."/>
    <n v="5"/>
    <n v="1"/>
    <n v="1"/>
    <n v="0"/>
    <n v="1"/>
    <n v="0"/>
    <n v="1"/>
    <m/>
    <m/>
    <s v="…"/>
    <m/>
    <m/>
    <m/>
    <m/>
  </r>
  <r>
    <n v="357"/>
    <x v="6"/>
    <x v="2"/>
    <s v="Mantenimiento preventivo "/>
    <x v="0"/>
    <x v="25"/>
    <x v="0"/>
    <d v="2025-12-29T00:00:00"/>
    <s v="Gestión hidrica el soldado (Nicolas Valenzuela)"/>
    <s v="Por aviso desde oficina procedemos ir al punto a realizar inspección ya que se encontraba caído._x000a_Realizamos reset y el punto volvió a funcionar correctamente."/>
    <n v="5"/>
    <n v="1"/>
    <n v="1"/>
    <n v="0"/>
    <n v="1"/>
    <n v="0"/>
    <n v="1"/>
    <m/>
    <m/>
    <s v="..."/>
    <s v="..."/>
    <m/>
    <m/>
    <m/>
  </r>
  <r>
    <n v="357"/>
    <x v="6"/>
    <x v="2"/>
    <s v="Mantenimiento preventivo "/>
    <x v="46"/>
    <x v="184"/>
    <x v="0"/>
    <d v="2025-12-29T00:00:00"/>
    <s v="Gestión hidrica el soldado (Nicolas Valenzuela)"/>
    <s v="Fuimos a comprar cadena para dejar el equipo Galileo con protección de ser bandalizado. Quedo encadenado y con candados."/>
    <n v="5"/>
    <n v="1"/>
    <n v="1"/>
    <n v="0"/>
    <n v="1"/>
    <n v="0"/>
    <n v="1"/>
    <m/>
    <m/>
    <s v="..."/>
    <s v="..."/>
    <m/>
    <m/>
    <m/>
  </r>
  <r>
    <n v="362"/>
    <x v="3"/>
    <x v="3"/>
    <s v="Levantar punto Viñas de concha y toro "/>
    <x v="34"/>
    <x v="93"/>
    <x v="3"/>
    <d v="2025-12-30T00:00:00"/>
    <s v="Biodiversa Chimbarongo "/>
    <s v="En Viñas concha y toro se monta placa modbus en mag6000 queda leyendo equipo, se valida dato de terreno con plataforma._x000a_E. Biodiversa planta se realizan pruebas de control y de lectura modbus de vdf ksb._x000a_"/>
    <n v="5"/>
    <n v="1"/>
    <n v="1"/>
    <n v="1"/>
    <n v="1"/>
    <n v="1"/>
    <n v="1"/>
    <s v="Otro"/>
    <s v="N/A"/>
    <s v="21299H405139"/>
    <m/>
    <m/>
    <m/>
    <m/>
  </r>
  <r>
    <n v="361"/>
    <x v="6"/>
    <x v="2"/>
    <s v="Mantenimiento preventivo "/>
    <x v="46"/>
    <x v="184"/>
    <x v="0"/>
    <d v="2025-12-30T00:00:00"/>
    <s v="Gestión hidrica el soldado (Nicolas Valenzuela)"/>
    <s v="Se realizo visita con don Nicolas Valenzuela de anglo American para revisión de carro galileo, se encuentra caudalimetro no invasivo descalibrado, se retira y se envía a calibración por garantía. "/>
    <n v="5"/>
    <n v="1"/>
    <n v="1"/>
    <n v="0"/>
    <n v="1"/>
    <n v="0"/>
    <n v="1"/>
    <m/>
    <m/>
    <s v="21299H405136"/>
    <s v="."/>
    <m/>
    <m/>
    <m/>
  </r>
  <r>
    <n v="361"/>
    <x v="6"/>
    <x v="2"/>
    <s v="Mantenimiento preventivo "/>
    <x v="63"/>
    <x v="185"/>
    <x v="0"/>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n v="1"/>
    <n v="1"/>
    <n v="0"/>
    <n v="1"/>
    <n v="0"/>
    <n v="1"/>
    <m/>
    <m/>
    <s v="…"/>
    <m/>
    <m/>
    <m/>
    <m/>
  </r>
  <r>
    <n v="365"/>
    <x v="6"/>
    <x v="2"/>
    <s v="Mantenimiento preventivo "/>
    <x v="0"/>
    <x v="27"/>
    <x v="0"/>
    <d v="2025-12-31T00:00:00"/>
    <s v="Gestión hidrica el soldado (Nicolas Valenzuela)"/>
    <s v="Por aviso de oficina procedemos ir al punto a recetear el tablero ya que se encontraba la sonda dando datos erróneo. "/>
    <n v="5"/>
    <n v="1"/>
    <n v="1"/>
    <n v="0"/>
    <n v="1"/>
    <n v="0"/>
    <n v="1"/>
    <m/>
    <m/>
    <s v="…"/>
    <m/>
    <m/>
    <m/>
    <m/>
  </r>
  <r>
    <n v="365"/>
    <x v="6"/>
    <x v="2"/>
    <s v="Mantenimiento preventivo "/>
    <x v="46"/>
    <x v="186"/>
    <x v="0"/>
    <d v="2025-12-31T00:00:00"/>
    <s v="Gestión hidrica el soldado (Nicolas Valenzuela)"/>
    <s v="Se realizo inspección visual de cada punto para que no se encontrarán bandalizado o con algún problema. "/>
    <n v="5"/>
    <n v="1"/>
    <n v="1"/>
    <n v="0"/>
    <n v="1"/>
    <n v="0"/>
    <n v="1"/>
    <m/>
    <m/>
    <s v="…"/>
    <m/>
    <m/>
    <m/>
    <m/>
  </r>
  <r>
    <n v="365"/>
    <x v="6"/>
    <x v="2"/>
    <s v="Mantenimiento preventivo "/>
    <x v="0"/>
    <x v="86"/>
    <x v="0"/>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n v="1"/>
    <n v="1"/>
    <n v="0"/>
    <n v="1"/>
    <n v="0"/>
    <n v="1"/>
    <m/>
    <m/>
    <s v="21350H405173"/>
    <s v="Se trasladó los equipos del recinto PME-11 para dejar transmitiendo en el recinto P2G."/>
    <m/>
    <m/>
    <m/>
  </r>
  <r>
    <n v="368"/>
    <x v="0"/>
    <x v="2"/>
    <s v="Visita terreno"/>
    <x v="64"/>
    <x v="187"/>
    <x v="0"/>
    <d v="2026-01-05T00:00:00"/>
    <s v="Superintendencia de recursos hidricos "/>
    <s v="Se acude al punto a verificar la condición y se anota lo que falta para la habilitación de éste._x000a_Batería acorde y peinado de cables"/>
    <n v="5"/>
    <n v="1"/>
    <n v="0"/>
    <n v="0"/>
    <n v="1"/>
    <n v="0"/>
    <n v="1"/>
    <m/>
    <m/>
    <s v="20206H404833"/>
    <s v="Se traslada cable de sonda multiparametrica del recinto pozo PP-29 hacia el recinto pozo P3G."/>
    <m/>
    <m/>
    <m/>
  </r>
  <r>
    <n v="368"/>
    <x v="0"/>
    <x v="2"/>
    <s v="Visita terreno"/>
    <x v="57"/>
    <x v="188"/>
    <x v="0"/>
    <d v="2026-01-05T00:00:00"/>
    <s v="Superintendencia de recursos hidricos "/>
    <s v="- Se coordina con Joanil Contreras para la entrega de perfil metálico para instalación de lector de velocidad RQ30._x000a__x000a_- Se hace entrega de documentación a Sr. Nicolas solicitado por Rodrigo López._x000a__x000a_- Se espero a don Diego Ramos para la verificación de instalación de los postes en los puntos PEM, pero no fue posible reunirnos, esta coordinado para hoy a las 10:00hrs apox._x000a__x000a_- Se rotula las herramientas acorde al color reactivo de este mes. "/>
    <n v="5"/>
    <n v="1"/>
    <n v="0"/>
    <n v="0"/>
    <n v="1"/>
    <n v="0"/>
    <n v="1"/>
    <m/>
    <m/>
    <s v=".."/>
    <m/>
    <m/>
    <m/>
    <m/>
  </r>
  <r>
    <n v="366"/>
    <x v="3"/>
    <x v="3"/>
    <s v="Migración Red Lora "/>
    <x v="2"/>
    <x v="189"/>
    <x v="3"/>
    <d v="2026-01-05T00:00:00"/>
    <s v="Paula Riquelme "/>
    <s v="Durante mañana tarde firmas de PT, se retiran equipos de Netaxion._x000a_Paula Riquelme nos hace entrega de antenas Lora._x000a_Tiempo restante para migrar BN7 a Lora Wan, se dejan con Paula 21 equipos de estos guardados en su oficina."/>
    <n v="5"/>
    <n v="1"/>
    <n v="1"/>
    <n v="1"/>
    <n v="1"/>
    <n v="1"/>
    <n v="1"/>
    <s v="Otro"/>
    <s v="Uc300 "/>
    <s v="21316H405166"/>
    <s v="La sonda instalada no tiene sensor para tener lectura de Ph "/>
    <m/>
    <m/>
    <m/>
  </r>
  <r>
    <n v="382"/>
    <x v="3"/>
    <x v="3"/>
    <s v="Integración Red LoraWan industrial "/>
    <x v="2"/>
    <x v="190"/>
    <x v="3"/>
    <d v="2026-01-06T00:00:00"/>
    <s v="Paula Riquelme "/>
    <s v="Integración de equipos LoraWan, configuración y validación de datos en plataforma ok. Instalación de antena ok."/>
    <n v="5"/>
    <n v="1"/>
    <n v="1"/>
    <n v="1"/>
    <n v="1"/>
    <n v="1"/>
    <n v="1"/>
    <s v="Otro"/>
    <s v="Uc300-915M "/>
    <s v="N/A"/>
    <s v="Viaje de ida_x000a_Retiro de materiales _x000a_Compra de insumos para instalación _x000a_Compra de insumos básicos para departamento "/>
    <m/>
    <m/>
    <m/>
  </r>
  <r>
    <n v="372"/>
    <x v="0"/>
    <x v="2"/>
    <s v="Mantenimiento preventivo "/>
    <x v="0"/>
    <x v="53"/>
    <x v="5"/>
    <d v="2026-01-06T00:00:00"/>
    <s v="Superintendencia de recursos hidricos "/>
    <s v="Visita a Pem 01 con SS_x000a_Se debe entregar a SS estructura de soporte para panel_x000a_ dimensiones : 1217*992*35mm_x000a__x000a_Se acude para verificar el posicionamiento del poste a instalar. "/>
    <n v="5"/>
    <n v="1"/>
    <n v="0"/>
    <n v="0"/>
    <n v="1"/>
    <n v="0"/>
    <n v="1"/>
    <m/>
    <m/>
    <s v="N/A"/>
    <s v="Precomisamiento zona 2.1 "/>
    <m/>
    <m/>
    <m/>
  </r>
  <r>
    <n v="372"/>
    <x v="0"/>
    <x v="2"/>
    <s v="Mantenimiento preventivo "/>
    <x v="0"/>
    <x v="60"/>
    <x v="5"/>
    <d v="2026-01-06T00:00:00"/>
    <s v="Superintendencia de recursos hidricos "/>
    <s v="Visita a Pem 03 con SS_x000a_Se debe entregar a SS estructura de soporte para panel y un panel solar, ya que fue vandalizado. _x000a_ dimensiones panel : 1217*992*35mm_x000a__x000a_Se acude para verificar el posicionamiento del poste a instalar. "/>
    <n v="5"/>
    <n v="1"/>
    <n v="0"/>
    <n v="0"/>
    <n v="1"/>
    <n v="0"/>
    <n v="1"/>
    <m/>
    <m/>
    <s v="N/A"/>
    <s v="Precomisamiento  Zona 2.2_x000a_"/>
    <m/>
    <m/>
    <m/>
  </r>
  <r>
    <n v="372"/>
    <x v="0"/>
    <x v="2"/>
    <s v="Mantenimiento preventivo "/>
    <x v="57"/>
    <x v="191"/>
    <x v="0"/>
    <d v="2026-01-06T00:00:00"/>
    <s v="Superintendencia de recursos hidricos "/>
    <s v="Se acude al punto para cerrar válvula por completo por solicitud del cliente"/>
    <n v="5"/>
    <n v="1"/>
    <n v="0"/>
    <n v="0"/>
    <n v="1"/>
    <n v="0"/>
    <n v="1"/>
    <m/>
    <m/>
    <s v="21351H405179"/>
    <m/>
    <m/>
    <m/>
    <m/>
  </r>
  <r>
    <n v="372"/>
    <x v="0"/>
    <x v="2"/>
    <s v="Mantenimiento preventivo "/>
    <x v="0"/>
    <x v="91"/>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Tablero"/>
    <s v="1 tablero fotovoltaico + uc300_x000a_1 tablero PLC 16R"/>
    <s v="..."/>
    <s v="..."/>
    <m/>
    <m/>
    <m/>
  </r>
  <r>
    <n v="372"/>
    <x v="0"/>
    <x v="2"/>
    <s v="Mantenimiento preventivo "/>
    <x v="0"/>
    <x v="91"/>
    <x v="2"/>
    <d v="2026-01-06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Otro"/>
    <s v="Panel fotovoltaico "/>
    <s v="…"/>
    <m/>
    <m/>
    <m/>
    <m/>
  </r>
  <r>
    <n v="370"/>
    <x v="3"/>
    <x v="3"/>
    <s v="Migración a Red Lora Wan LT "/>
    <x v="2"/>
    <x v="189"/>
    <x v="3"/>
    <d v="2026-01-06T00:00:00"/>
    <s v="Matias Signorio - Paula Riquelme "/>
    <s v="Se instalan y configuración dispositivo red Lora Wan, se validan datos terreno plataforma ok + antena ok."/>
    <n v="5"/>
    <n v="1"/>
    <n v="1"/>
    <n v="1"/>
    <n v="1"/>
    <n v="1"/>
    <n v="1"/>
    <s v="Otro"/>
    <s v="Uc300-915M"/>
    <s v="Ips81332838"/>
    <s v="Equipo en falla  failed to start the concentrator"/>
    <m/>
    <m/>
    <m/>
  </r>
  <r>
    <n v="370"/>
    <x v="3"/>
    <x v="3"/>
    <s v="Migración a Red Lora Wan LT "/>
    <x v="2"/>
    <x v="192"/>
    <x v="3"/>
    <d v="2026-01-06T00:00:00"/>
    <s v="Matias Signorio - Paula Riquelme "/>
    <s v="Se instalan y configuración dispositivo red Lora Wan, se validan datos terreno plataforma ok. + antena"/>
    <n v="5"/>
    <n v="1"/>
    <n v="1"/>
    <n v="1"/>
    <n v="1"/>
    <n v="1"/>
    <n v="1"/>
    <s v="Otro"/>
    <s v="Uc300-915M"/>
    <s v="St25"/>
    <s v="En falla "/>
    <m/>
    <m/>
    <m/>
  </r>
  <r>
    <n v="370"/>
    <x v="3"/>
    <x v="3"/>
    <s v="Migración a Red Lora Wan LT "/>
    <x v="2"/>
    <x v="183"/>
    <x v="3"/>
    <d v="2026-01-06T00:00:00"/>
    <s v="Matias Signorio - Paula Riquelme "/>
    <s v="Se instalan y configuración dispositivo red Lora Wan, se validan datos terreno plataforma ok. + antena ok."/>
    <n v="5"/>
    <n v="1"/>
    <n v="1"/>
    <n v="1"/>
    <n v="1"/>
    <n v="1"/>
    <n v="1"/>
    <s v="Otro"/>
    <s v="Uc300-915M "/>
    <s v="Flowcell provisorio"/>
    <m/>
    <m/>
    <m/>
    <m/>
  </r>
  <r>
    <n v="369"/>
    <x v="9"/>
    <x v="4"/>
    <s v="Configuración telemetria pozo BN12"/>
    <x v="2"/>
    <x v="183"/>
    <x v="0"/>
    <d v="2026-01-06T00:00:00"/>
    <s v="Paula Riquelme "/>
    <s v="Se intstala sensor de nivel en pozo y se configura el equipo junto con el flujometro a traves de lecturas modbus, se comprueban valores en PLC._x000a__x000a_Por otro lado se configura la comunicación del punto a la telemetria WeTechs para la visualizacion de datos._x000a__x000a_Adicionalmente se instalan equipos de comunicación para la lectura de datos a través de red LORA."/>
    <n v="5"/>
    <n v="1"/>
    <n v="1"/>
    <n v="1"/>
    <n v="1"/>
    <n v="1"/>
    <n v="1"/>
    <m/>
    <m/>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m/>
    <m/>
    <m/>
  </r>
  <r>
    <n v="392"/>
    <x v="14"/>
    <x v="3"/>
    <s v="Levantamiento Cachimba TK0042 para piloto seguimiento camiones aljíbes"/>
    <x v="65"/>
    <x v="193"/>
    <x v="5"/>
    <d v="2026-01-07T00:00:00"/>
    <s v="Felipe Nuñez"/>
    <s v="El TK0042 es un tanque de almacenamiento ubicado en barrio cívico con una capacidad de 2500 m3. Desde este punto salen diferentes camiones a destinos que el superintendente no tiene del todo claro. La idea es poder hacerle seguimiento a estos camiones con nuestra solución. Existe un video explicativo del sector en sharepoint._x000a__x000a_A continuación especificaciones técnicas._x000a__x000a_Información Lugar:_x000a_Señal Movil: Proveedor: Claro/WOM - Intesidad: Buena_x000a__x000a_Hidráulica_x000a_Diámetro Tubería: 4&quot;_x000a_Material Tubería: Acero_x000a_Estado Físico: Buen Estado_x000a_Punto Descarga: Cachimba_x000a__x000a_Instrumentación_x000a_Caudalímetro: E&amp;H_x000a_Electricidad: No Solar_x000a_Partida Bomba: No Aplica (Gravitacional)_x000a__x000a_"/>
    <n v="5"/>
    <n v="1"/>
    <n v="1"/>
    <n v="1"/>
    <n v="1"/>
    <n v="1"/>
    <n v="1"/>
    <m/>
    <m/>
    <s v="N/A"/>
    <s v="-Canalización y cableado en zona 1 para nueva instrumentación. _x000a_-Levantamiento de todos los puntos a implementar junto a operador de planta._x000a_-Levantamiento de punto caído zona 2_x000a_-Verificación de telemetria anterior instalada."/>
    <m/>
    <m/>
    <m/>
  </r>
  <r>
    <n v="391"/>
    <x v="14"/>
    <x v="3"/>
    <s v="Levantamiento Pozos Monitoreo de Extracciones Efectivas Salares Norte"/>
    <x v="66"/>
    <x v="194"/>
    <x v="5"/>
    <d v="2026-01-07T00:00:00"/>
    <s v="Felipe Nuñez"/>
    <s v="El punto WEDR001 es uno de los 5 pozos de extracción existentes en Salares Norte para la operación (Se visitaron 4). Esta va al TK0052 de 280 m3 que a su vez alimenta a toda la Operación de Salares Norte._x000a__x000a_A continuación dejo los puntos más importantes._x000a__x000a_Información Lugar_x000a_- Caudal Autorizado: 18 L/s_x000a_- Coordenada UTM: 7.126.431 N - 519.962 E_x000a_- Señal Movil: &quot;Proveedor: Claro/WOM Intensidad: Buena&quot;_x000a__x000a_Hidráulica_x000a_- Díametro Tubería: DN150 (6&quot;) - PN10/16_x000a_- Material Tubería: Acero_x000a_- Tramos Rectos: Aguas Arriba: 165 cm (65&quot;&quot;) ~10DN / Aguas Abajo: 68 cm ~ 27&quot;&quot; ~ 4.5 DN_x000a_- Accesorios: Manómetro no operativo (No lo requieren)_x000a_- Estado Físico: Buen Estado_x000a_- Punto Descarga: TK0052 (280 m3) - Sin embargo lo utilizan solamente cuando el WEDR001- A entra a mantención._x000a__x000a_Pozo_x000a_- Nivel Estático: 141 mts_x000a_- Nivel Dinámico: 152 mts_x000a_- Profundidad Bomba: 170 mts_x000a_- Profundidad del Pozo: 208.5 mts_x000a_- Placa Bomba: Imagen Adjunta_x000a_- Díametro Pozo: 12&quot;_x000a_- Díametro Línea de Aire: 2&quot;_x000a__x000a_Instrumentación:_x000a_- Caudalímetro: Marca: Siemens - Electromagnético_x000a_- Nivel: Marca: BGT-GX701PT - 4 -20 - Analógico_x000a_- Electricidad: No Solar_x000a_- Partida Bomba: VDF_x000a__x000a__x000a__x000a__x000a_"/>
    <n v="5"/>
    <n v="1"/>
    <n v="1"/>
    <n v="1"/>
    <n v="1"/>
    <n v="1"/>
    <n v="1"/>
    <m/>
    <m/>
    <s v="…"/>
    <s v="No se presentan observaciones "/>
    <m/>
    <m/>
    <m/>
  </r>
  <r>
    <n v="391"/>
    <x v="14"/>
    <x v="3"/>
    <s v="Levantamiento Pozos Monitoreo de Extracciones Efectivas Salares Norte"/>
    <x v="66"/>
    <x v="195"/>
    <x v="5"/>
    <d v="2026-01-07T00:00:00"/>
    <s v="Felipe Nuñez"/>
    <s v="El punto WEDR001-A es uno de los 5 pozos de extracción existentes en Salares Norte para la operación (Se visitaron 4). Este punto se encuentra junto al WEDR001 y es uno de los dos pozos principales que alimentan al TK0052 (en conjunto con el WEDR003-B). A continuación dejo los puntos más importantes._x000a__x000a_Información Lugar_x000a_- Caudal Autorizado: 40 L/s_x000a_- Coordenada UTM: 7.126.442 N - 519.952 E_x000a_- Señal Movil: &quot;Proveedor: Claro/WOM Intensidad: Buena&quot;_x000a__x000a_Hidráulica_x000a_- Díametro Tubería: DN200 (8&quot;)_x000a_- Material Tubería: Acero_x000a_- Tramos Rectos: Aguas Arriba: &gt; 40&quot; (&gt;5DN) / Aguas Abajo: &gt; 80&quot; (&gt;10DN)_x000a_- Accesorios: Manómetro operativo (E&amp;H)_x000a_- Estado Físico: Buen Estado_x000a_- Punto Descarga: TK0052 (280 m3)_x000a__x000a__x000a_Pozo_x000a_- Nivel Estático: 142 mts_x000a_- Nivel Dinámico: 152.3 mts_x000a_- Profundidad Bomba: 192 mts_x000a_- Profundidad del Pozo: 226 mts_x000a_- Placa Bomba: Imagen Adjunta_x000a_- Díametro Pozo: 16&quot;_x000a_- Díametro Línea de Aire: 4&quot;_x000a__x000a_Instrumentación:_x000a_- Caudalímetro: Marca: Siemens - Electromagnético_x000a_- Nivel: Marca: BGT-GX701PT - 4 -20 - Analógico_x000a_- Electricidad: No Solar_x000a_- Partida Bomba: VDF_x000a__x000a__x000a_"/>
    <n v="5"/>
    <n v="1"/>
    <n v="1"/>
    <n v="1"/>
    <n v="1"/>
    <n v="1"/>
    <n v="1"/>
    <m/>
    <m/>
    <s v="…"/>
    <s v="No se presentan observaciones "/>
    <m/>
    <m/>
    <m/>
  </r>
  <r>
    <n v="391"/>
    <x v="14"/>
    <x v="3"/>
    <s v="Levantamiento Pozos Monitoreo de Extracciones Efectivas Salares Norte"/>
    <x v="66"/>
    <x v="196"/>
    <x v="5"/>
    <d v="2026-01-07T00:00:00"/>
    <s v="Felipe Nuñez"/>
    <s v="El punto WEDR003 es uno de los 5 pozos de extracción existentes en Salares Norte para la operación (Se visitaron 4). Este punto no se encuentra operativo. A continuación, dejo los puntos más importantes._x000a__x000a_Información Lugar_x000a_- Caudal Autorizado: 3.2 L/s_x000a_- Coordenada UTM: 7.125.873 N - 520.796 E_x000a_- Señal Movil: &quot;Proveedor: Claro/WOM Intensidad: Buena&quot;_x000a__x000a_Hidráulica_x000a_- Díametro Tubería: DN50 (2&quot;)_x000a_- Material Tubería: Acero_x000a_- Tramos Rectos: &quot;Aguas Arriba: 180 cm (36DN) / Aguas Abajo: 75 cm (15DN)&quot;_x000a_- Accesorios: Válvula DN150 (6&quot;) PN10/15 DIN_x000a_- Estado Físico: Buen Estado_x000a_- Punto Descarga: No tiene uso, sin embargo si lo tuviera sería el TK0052 (280 m3)_x000a__x000a_Pozo_x000a_- Nivel Estático: 138.98 mts_x000a_- Nivel Dinámico: No se sabe ~ 155 mts_x000a_- Profundidad Bomba: 192 mts_x000a_- Profundidad del Pozo: 260 mts_x000a_- Placa Bomba: No_x000a_- Díametro Pozo: 12&quot;_x000a_- Díametro Línea de Aire: 1.5&quot; - 2&quot;_x000a__x000a_Instrumentación:_x000a_- Caudalímetro: Marca: Siemens - Electromagnético_x000a_- Nivel: Marca: BGT-GX701PT - 4 -20 - Analógico_x000a_- Electricidad: No Solar_x000a_- Partida Bomba: No se está seguro"/>
    <n v="5"/>
    <n v="1"/>
    <n v="1"/>
    <n v="1"/>
    <n v="1"/>
    <n v="1"/>
    <n v="1"/>
    <m/>
    <m/>
    <s v="…"/>
    <s v="…"/>
    <m/>
    <m/>
    <m/>
  </r>
  <r>
    <n v="391"/>
    <x v="14"/>
    <x v="3"/>
    <s v="Levantamiento Pozos Monitoreo de Extracciones Efectivas Salares Norte"/>
    <x v="66"/>
    <x v="197"/>
    <x v="5"/>
    <d v="2026-01-07T00:00:00"/>
    <s v="Felipe Nuñez"/>
    <s v="El punto WEDR003-B es uno de los 5 pozos de extracción existentes en Salares Norte para la operación (Se visitaron 4). Este punto se encuentra junto al WEDR003 y es uno de los dos pozos principales que alimentan al TK0052 (en conjunto con el WEDR001-A). A continuación dejo los puntos más _x000a__x000a_Información Lugar_x000a_- Caudal Autorizado: 22 L/s_x000a_- Coordenada UTM: 7.125.980 N - 520.773 E_x000a_- Señal Movil: &quot;Proveedor: Claro/WOM Intensidad: Buena&quot;_x000a__x000a_Hidráulica_x000a_- Díametro Tubería: DN150 - 6&quot;_x000a_- Material Tubería: Acero_x000a_- Tramos Rectos: &quot;Aguas Arriba: No se tiene el dato pero según Felipe Cumple &gt;5DN / Aguas Abajo:  No se tiene el dato, pero según Felipe cumple 3DN&quot;_x000a_- Accesorios: Válvula Manual_x000a_- Estado Físico: Buen Estado_x000a_- Punto Descarga: No tiene uso, sin embargo si lo tuviera sería el TK0052 (280 m3)_x000a__x000a_Pozo_x000a_- Nivel Estático: 138.4 mts_x000a_- Nivel Dinámico: 165 mts a 19 L/s_x000a_- Profundidad Bomba: 216 mts_x000a_- Profundidad del Pozo: 240 mts_x000a_- Placa Bomba: No_x000a_- Díametro Pozo: 16&quot;_x000a_- Díametro Línea de Aire: 2&quot;_x000a__x000a_Instrumentación:_x000a_- Caudalímetro: Marca: Siemens - Electromagnético_x000a_- Nivel: Marca: BGT-GX701PT - 4 -20 - Analógico_x000a_- Electricidad: No Solar_x000a_- Partida Bomba: VDF"/>
    <n v="5"/>
    <n v="1"/>
    <n v="1"/>
    <n v="1"/>
    <n v="1"/>
    <n v="1"/>
    <n v="1"/>
    <m/>
    <m/>
    <s v="MC-14687EE"/>
    <s v="Sería ideal mandar a calibrar por temas observados con relación a la temperatura obtenida_x000a__x000a_Limpieza a flowcell_x000a__x000a_Se deben conseguir conectores hidráulicos de entrada y salida de flowcell para microtubo"/>
    <m/>
    <m/>
    <m/>
  </r>
  <r>
    <n v="374"/>
    <x v="9"/>
    <x v="4"/>
    <s v="Mantenimiento correctivo R2700"/>
    <x v="12"/>
    <x v="46"/>
    <x v="0"/>
    <d v="2026-01-07T00:00:00"/>
    <s v="Paula Riquelme"/>
    <s v="En la visita a terreno se constata que la caida de la telemetria se debe a la desnergizacion de antena starlink, esto ultimo por activación de interruptor automático._x000a__x000a_Se regulariza la condición y adicionalmente se integra la UPS al circuito de alimentación conectando entrada en tablero de paso existente y su salida aguas arriba a automático general telemetría. _x000a__x000a_De esta forma si la red electerica cae, la UPS continuará entregandole energia al sistema completo, una vez la UPS se agote, el inversor continua alimentando con baterias y solución solar._x000a__x000a_Queda pendiente en sala R2700 instalar gabinete para remontar 2 baterias de 100AH y conectarlas al sistema de respaldo._x000a__x000a_Instalación de conectores MC4 paralelo para regularizar la conexión fisica de los paneles._x000a__x000a_Instalar automático DC para la protección de banco de baterías._x000a__x000a_Regularizar terminales en cables de alimentación solar y baterías (requiere ferrules) cable 6AWG."/>
    <n v="5"/>
    <n v="0"/>
    <n v="1"/>
    <n v="1"/>
    <n v="1"/>
    <n v="1"/>
    <n v="1"/>
    <m/>
    <m/>
    <s v="."/>
    <s v="."/>
    <m/>
    <m/>
    <m/>
  </r>
  <r>
    <n v="373"/>
    <x v="0"/>
    <x v="2"/>
    <s v="Mantenimiento preventivo "/>
    <x v="0"/>
    <x v="27"/>
    <x v="0"/>
    <d v="2026-01-07T00:00:00"/>
    <s v="Superintendencia de recursos hidricos "/>
    <s v="Se acude al punto para resolución de ticket, ya que presentaba peaks de valores respecto a la conductividaddel agua en plataforma._x000a_Se revisan software y se verifica la lectura_x000a_Se encuentra en orden y registrando valores en plataforma. "/>
    <n v="5"/>
    <n v="1"/>
    <n v="0"/>
    <n v="0"/>
    <n v="1"/>
    <n v="0"/>
    <n v="1"/>
    <m/>
    <m/>
    <s v="…"/>
    <s v="Se desinstala tablero existente con la finalidad de ser revisado y diagnosticado "/>
    <m/>
    <m/>
    <m/>
  </r>
  <r>
    <n v="373"/>
    <x v="0"/>
    <x v="2"/>
    <s v="Mantenimiento preventivo "/>
    <x v="0"/>
    <x v="92"/>
    <x v="2"/>
    <d v="2026-01-07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Tablero"/>
    <s v="- Tablero PLC 16R_x000a_- Tablero fotovoltaico + UC300"/>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m/>
    <m/>
    <m/>
  </r>
  <r>
    <n v="373"/>
    <x v="0"/>
    <x v="2"/>
    <s v="Mantenimiento preventivo "/>
    <x v="0"/>
    <x v="92"/>
    <x v="2"/>
    <d v="2026-01-07T00:00:00"/>
    <s v="Superintendencia de recursos hidricos "/>
    <s v="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
    <n v="5"/>
    <n v="1"/>
    <n v="0"/>
    <n v="0"/>
    <n v="1"/>
    <n v="0"/>
    <n v="1"/>
    <s v="Otro"/>
    <s v="Panel fotovoltsico"/>
    <m/>
    <m/>
    <m/>
    <m/>
    <m/>
  </r>
  <r>
    <n v="377"/>
    <x v="0"/>
    <x v="2"/>
    <s v="Mantenimiento preventivo "/>
    <x v="57"/>
    <x v="198"/>
    <x v="0"/>
    <d v="2026-01-08T00:00:00"/>
    <s v="Superintendencia de recursos hidricos "/>
    <s v="Se acude a revisión de los pozos de inyección del 17 al 20._x000a_Se contrasta Caudal en terreno y en plataforma siendo estos 4 puntos coherentes y valores correctos_x000a_Se revisa planta Solar y se limpian paneles para evitar algún tipo de falla respectivamente._x000a__x000a_Observaciones_x000a_PI-17 se destraba válvula vortex y continua su funcionamiento normal._x000a__x000a_"/>
    <n v="5"/>
    <n v="1"/>
    <n v="1"/>
    <n v="0"/>
    <n v="1"/>
    <n v="0"/>
    <n v="1"/>
    <m/>
    <m/>
    <m/>
    <m/>
    <m/>
    <m/>
    <m/>
  </r>
  <r>
    <n v="377"/>
    <x v="0"/>
    <x v="2"/>
    <s v="Mantenimiento preventivo "/>
    <x v="59"/>
    <x v="199"/>
    <x v="0"/>
    <d v="2026-01-08T00:00:00"/>
    <s v="Superintendencia de recursos hidricos "/>
    <s v="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_x000a__x000a_- Tablero We connect presenta muy alta temperatura en teltonika y en el tablero en general, tablero no cuenta con ventilación _x000a_- Fuente de voltaje estaba en 28,40v se reduce a 26,20, por sobrecalentamiento, se observa que potenciómetro de voltaje de la fuente esta hundido hacia dentro y se hace difícil regular._x000a_Son indicios para pensar en reemplazar la fuente y quizás una mejora en sentido de ventilación o enfriamiento del tablero. "/>
    <n v="5"/>
    <n v="1"/>
    <n v="1"/>
    <n v="0"/>
    <n v="1"/>
    <n v="0"/>
    <n v="1"/>
    <m/>
    <m/>
    <m/>
    <m/>
    <m/>
    <m/>
    <m/>
  </r>
  <r>
    <n v="377"/>
    <x v="0"/>
    <x v="2"/>
    <s v="Mantenimiento preventivo "/>
    <x v="0"/>
    <x v="98"/>
    <x v="2"/>
    <d v="2026-01-08T00:00:00"/>
    <s v="Superintendencia de recursos hidricos "/>
    <s v="Se realiza limpieza de tableros, limpieza de panel fotovoltaico, reapriete de terminales, mediciones de voltaje, revisión, contratación y validación de datos en plataforma y software ecostruxture._x000a_Datos congruentes. _x000a_"/>
    <n v="5"/>
    <n v="1"/>
    <n v="1"/>
    <n v="0"/>
    <n v="1"/>
    <n v="0"/>
    <n v="1"/>
    <s v="Tablero"/>
    <s v="Tablero de banco baterias_x000a_Tablero We connect_x000a_Tablero PLC16R"/>
    <m/>
    <m/>
    <m/>
    <m/>
    <m/>
  </r>
  <r>
    <n v="377"/>
    <x v="0"/>
    <x v="2"/>
    <s v="Mantenimiento preventivo "/>
    <x v="0"/>
    <x v="98"/>
    <x v="2"/>
    <d v="2026-01-08T00:00:00"/>
    <s v="Superintendencia de recursos hidricos "/>
    <s v="Se realiza limpieza de tableros, limpieza de panel fotovoltaico, reapriete de terminales, mediciones de voltaje, revisión, contratación y validación de datos en plataforma y software ecostruxture._x000a_Datos congruentes. _x000a_"/>
    <n v="5"/>
    <n v="1"/>
    <n v="1"/>
    <n v="0"/>
    <n v="1"/>
    <n v="0"/>
    <n v="1"/>
    <s v="Otro"/>
    <s v="Panel fotovoltaico "/>
    <m/>
    <m/>
    <m/>
    <m/>
    <m/>
  </r>
  <r>
    <n v="376"/>
    <x v="9"/>
    <x v="4"/>
    <s v="Implementacion red LORA WAN"/>
    <x v="2"/>
    <x v="155"/>
    <x v="0"/>
    <d v="2026-01-08T00:00:00"/>
    <s v="Paula Riquelme "/>
    <s v="Se instala equipos y antena para monitoreo de datos a través de red lora con éxito."/>
    <n v="5"/>
    <n v="1"/>
    <n v="1"/>
    <n v="1"/>
    <n v="1"/>
    <n v="1"/>
    <n v="1"/>
    <m/>
    <m/>
    <m/>
    <m/>
    <m/>
    <m/>
    <m/>
  </r>
  <r>
    <n v="376"/>
    <x v="9"/>
    <x v="4"/>
    <s v="Implementacion red LORA WAN"/>
    <x v="2"/>
    <x v="200"/>
    <x v="0"/>
    <d v="2026-01-08T00:00:00"/>
    <s v="Paula Riquelme "/>
    <s v="Se instala equipos y antena para monitoreo de datos a través de red lora con éxito."/>
    <n v="5"/>
    <n v="1"/>
    <n v="1"/>
    <n v="1"/>
    <n v="1"/>
    <n v="1"/>
    <n v="1"/>
    <m/>
    <m/>
    <m/>
    <m/>
    <m/>
    <m/>
    <m/>
  </r>
  <r>
    <n v="376"/>
    <x v="9"/>
    <x v="4"/>
    <s v="Implementacion red LORA WAN"/>
    <x v="2"/>
    <x v="32"/>
    <x v="0"/>
    <d v="2026-01-08T00:00:00"/>
    <s v="Paula Riquelme "/>
    <s v="Se instala equipos y antena para monitoreo de datos a través de red lora con éxito._x000a__x000a_Queda pendiente validación de datos ya que punto se encuentra desnergizado."/>
    <n v="5"/>
    <n v="1"/>
    <n v="1"/>
    <n v="1"/>
    <n v="1"/>
    <n v="1"/>
    <n v="1"/>
    <m/>
    <m/>
    <m/>
    <m/>
    <m/>
    <m/>
    <m/>
  </r>
  <r>
    <n v="376"/>
    <x v="9"/>
    <x v="4"/>
    <s v="Implementacion red LORA WAN"/>
    <x v="2"/>
    <x v="201"/>
    <x v="0"/>
    <d v="2026-01-08T00:00:00"/>
    <s v="Paula Riquelme "/>
    <s v="Se instala equipos y antena para monitoreo de datos a través de red lora con éxito._x000a__x000a_Queda pendiente validación de datos ya que punto se encuentra desnergizado"/>
    <n v="5"/>
    <n v="1"/>
    <n v="1"/>
    <n v="1"/>
    <n v="1"/>
    <n v="1"/>
    <n v="1"/>
    <m/>
    <m/>
    <m/>
    <m/>
    <m/>
    <m/>
    <m/>
  </r>
  <r>
    <n v="375"/>
    <x v="1"/>
    <x v="3"/>
    <s v="Garantía pantalla sala de control "/>
    <x v="67"/>
    <x v="154"/>
    <x v="6"/>
    <d v="2026-01-08T00:00:00"/>
    <s v="Hernan Rojas"/>
    <s v="Se realiza instalación de nueva pantalla por garantia "/>
    <n v="5"/>
    <n v="1"/>
    <n v="1"/>
    <n v="1"/>
    <n v="1"/>
    <n v="1"/>
    <n v="1"/>
    <m/>
    <m/>
    <m/>
    <m/>
    <m/>
    <m/>
    <m/>
  </r>
  <r>
    <n v="375"/>
    <x v="1"/>
    <x v="3"/>
    <s v="Garantía pantalla sala de control "/>
    <x v="67"/>
    <x v="154"/>
    <x v="3"/>
    <d v="2026-01-08T00:00:00"/>
    <s v="Hernan Rojas"/>
    <s v="Se realiza instalación de nueva pantalla por garantia "/>
    <n v="5"/>
    <n v="1"/>
    <n v="1"/>
    <n v="1"/>
    <n v="1"/>
    <n v="1"/>
    <n v="1"/>
    <s v="Otro"/>
    <s v="Thinkpad lenovo"/>
    <m/>
    <m/>
    <m/>
    <m/>
    <m/>
  </r>
  <r>
    <n v="383"/>
    <x v="0"/>
    <x v="2"/>
    <s v="Mantenimiento preventivo"/>
    <x v="0"/>
    <x v="31"/>
    <x v="2"/>
    <d v="2026-01-12T00:00:00"/>
    <s v="Superintendencia de recursos hidricos "/>
    <s v="Se realiza limpieza a tableros, panel fotovoltaico, sonda multiparametrica u sensor de nivel._x000a_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
    <n v="5"/>
    <n v="1"/>
    <n v="0"/>
    <n v="0"/>
    <n v="1"/>
    <n v="0"/>
    <n v="1"/>
    <s v="Tablero"/>
    <s v="Tablero fotovoltaico + UC300_x000a_Tablero PLC 16R"/>
    <s v="..."/>
    <s v="Válvula Vortex trabada"/>
    <m/>
    <m/>
    <m/>
  </r>
  <r>
    <n v="383"/>
    <x v="0"/>
    <x v="2"/>
    <s v="Mantenimiento preventivo"/>
    <x v="0"/>
    <x v="31"/>
    <x v="2"/>
    <d v="2026-01-12T00:00:00"/>
    <s v="Superintendencia de recursos hidricos "/>
    <s v="Se realiza limpieza a tableros, panel fotovoltaico, sonda multiparametrica u sensor de nivel._x000a_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
    <n v="5"/>
    <n v="1"/>
    <n v="0"/>
    <n v="0"/>
    <n v="1"/>
    <n v="0"/>
    <n v="1"/>
    <s v="Otro"/>
    <s v="Panel fotovoltaico "/>
    <s v="..."/>
    <s v="Válvula trabada "/>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Soportes y estructuras"/>
    <s v="1. Epever UP3000 HMI10022._x000a_2. Tablero de derivación._x000a_3. Banco de batería._x000a_4. UPS"/>
    <s v="..."/>
    <m/>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Disp. regulador de energía"/>
    <s v="1. Epever UP3000 HMI10022."/>
    <s v="..."/>
    <s v="Batería presenta oxido en sus tornillos"/>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Disp. de almacenamiento de energía"/>
    <s v="Banco de baterías y UPS"/>
    <s v="..."/>
    <m/>
    <m/>
    <m/>
    <m/>
  </r>
  <r>
    <n v="381"/>
    <x v="13"/>
    <x v="4"/>
    <s v="Montaje de solución solar y configuración de los equipos en el interior sala bomba 3050."/>
    <x v="12"/>
    <x v="132"/>
    <x v="3"/>
    <d v="2026-01-12T00:00:00"/>
    <s v="Paula Riquelme"/>
    <s v="1- Se deja instalado y operativo el inversor de carga._x000a_2- Se reemplaza cableado en mal estado del inversor y el banco de batería._x000a_3- Se instalan el gabinete del banco de batería y lista para operar._x000a_4. Se dejan ensambladas los soportes de los paneles fotovoltaicos para su futura instalación (el día de mañana a la fecha de la subida de este documento)"/>
    <n v="5"/>
    <n v="0"/>
    <n v="0"/>
    <n v="0"/>
    <n v="0"/>
    <n v="0"/>
    <n v="1"/>
    <s v="Cableado"/>
    <s v="Banco de baterías, tablero de derivación e inversor."/>
    <s v="..."/>
    <m/>
    <m/>
    <m/>
    <m/>
  </r>
  <r>
    <n v="379"/>
    <x v="3"/>
    <x v="3"/>
    <s v="Configuración de caudalimetro debido a que se cambio y de plc programación _x000a_Incorporación Red LoraWan"/>
    <x v="2"/>
    <x v="202"/>
    <x v="1"/>
    <d v="2026-01-12T00:00:00"/>
    <s v="Paula Riquelme "/>
    <s v="Se realiza la configuración de caudalimeteo para su lectura modbus, además se actualiza programación, se validan datos ok._x000a_"/>
    <n v="5"/>
    <n v="1"/>
    <n v="1"/>
    <n v="1"/>
    <n v="1"/>
    <n v="1"/>
    <n v="1"/>
    <s v="Caudalímetro Electromagnético"/>
    <s v="Sin marca"/>
    <s v="21350H405174"/>
    <s v="Queda pendiente la comunicación con el Gateway del recinto Dren MO que se encuentra vandalizado "/>
    <m/>
    <m/>
    <m/>
  </r>
  <r>
    <n v="379"/>
    <x v="3"/>
    <x v="3"/>
    <s v="Configuración de caudalimetro debido a que se cambio y de plc programación _x000a_Incorporación Red LoraWan"/>
    <x v="2"/>
    <x v="99"/>
    <x v="3"/>
    <d v="2026-01-12T00:00:00"/>
    <s v="Paula Riquelme "/>
    <s v="Se instalan componentes para red industrial Red LoraWan + antena, validación de datos ok."/>
    <n v="5"/>
    <n v="1"/>
    <n v="1"/>
    <n v="1"/>
    <n v="1"/>
    <n v="1"/>
    <n v="1"/>
    <s v="Otro"/>
    <s v="Uc300-915M "/>
    <s v="21299H405137"/>
    <s v="Queda pendiente pruebas de comunicación "/>
    <m/>
    <m/>
    <m/>
  </r>
  <r>
    <n v="379"/>
    <x v="3"/>
    <x v="3"/>
    <s v="Configuración de caudalimetro debido a que se cambio y de plc programación _x000a_Incorporación Red LoraWan"/>
    <x v="2"/>
    <x v="202"/>
    <x v="3"/>
    <d v="2026-01-12T00:00:00"/>
    <s v="Paula Riquelme "/>
    <s v="Se instalan componentes para red industrial Red LoraWan + antena, validación de datos ok."/>
    <n v="5"/>
    <n v="1"/>
    <n v="1"/>
    <n v="1"/>
    <n v="1"/>
    <n v="1"/>
    <n v="1"/>
    <s v="Otro"/>
    <s v="Uc300-915M "/>
    <s v="Nodo 3"/>
    <s v="Voltaje en tablero:_x000a__x000a_Vpanel: 34VDC_x000a_Vbateria: 14,1VDC_x000a_Vf.in: 14,17VDC_x000a_Vf.out: 24,17VDC"/>
    <m/>
    <m/>
    <m/>
  </r>
  <r>
    <n v="387"/>
    <x v="5"/>
    <x v="4"/>
    <s v="Instalación y Mantenimiento Sistema de Monitoreo Riecillos We Techs"/>
    <x v="12"/>
    <x v="36"/>
    <x v="0"/>
    <d v="2026-01-13T00:00:00"/>
    <s v="Paula Riquelme "/>
    <s v="Se revisa equipo en terreno por unos peak de caudal que tuvo el fin de semana._x000a__x000a_En la revisión todo funciona con normalidad _x000a__x000a_El único detalle es que la tubería se escucha como si tuviera turbulencia o burbujas, pero es solo una interpretación. No se logra grabar con el teléfono."/>
    <n v="5"/>
    <n v="1"/>
    <n v="1"/>
    <n v="1"/>
    <n v="1"/>
    <n v="1"/>
    <n v="1"/>
    <m/>
    <m/>
    <s v="22328070"/>
    <s v="Se cambia transmisor de pulso."/>
    <m/>
    <m/>
    <m/>
  </r>
  <r>
    <n v="387"/>
    <x v="5"/>
    <x v="4"/>
    <s v="Instalación y Mantenimiento Sistema de Monitoreo Riecillos We Techs"/>
    <x v="12"/>
    <x v="132"/>
    <x v="3"/>
    <d v="2026-01-13T00:00:00"/>
    <s v="Paula Riquelme "/>
    <s v="Se realiza la instalación de Paneles Solares _x000a__x000a_Se instala Inversor _x000a__x000a_Se realiza conexiones de equipos "/>
    <n v="5"/>
    <n v="1"/>
    <n v="1"/>
    <n v="1"/>
    <n v="1"/>
    <n v="1"/>
    <n v="1"/>
    <s v="Otro"/>
    <s v="Panel Solar "/>
    <s v="Nodo 2"/>
    <s v="Voltaje en tablero:_x000a__x000a_Vpanel: 31,5VDC_x000a_Vbateria: 13,1VDC_x000a_Vf.in: 13,12VDC_x000a_Vf.out: 23,52VDC"/>
    <m/>
    <m/>
    <m/>
  </r>
  <r>
    <n v="385"/>
    <x v="2"/>
    <x v="1"/>
    <s v="Instalación de equipos para monitoreo de calidad de agua "/>
    <x v="2"/>
    <x v="143"/>
    <x v="5"/>
    <d v="2026-01-13T00:00:00"/>
    <s v="Patricio Cortes "/>
    <s v="Se toman fotografías de sonda instalada ya que fue remplazada en su momento por la sonda existente que se encontraba con problemas de lectura de nivel "/>
    <n v="5"/>
    <n v="0"/>
    <n v="0"/>
    <n v="0"/>
    <n v="1"/>
    <n v="0"/>
    <n v="1"/>
    <m/>
    <m/>
    <s v="22328072"/>
    <m/>
    <m/>
    <m/>
    <m/>
  </r>
  <r>
    <n v="385"/>
    <x v="2"/>
    <x v="1"/>
    <s v="Instalación de equipos para monitoreo de calidad de agua "/>
    <x v="68"/>
    <x v="203"/>
    <x v="5"/>
    <d v="2026-01-13T00:00:00"/>
    <s v="Patricio Cortes "/>
    <s v="Se hace revisión de los insumos que se encuentran en bodega de AALT. Se corrobora que se encuentran los insumos en buenas condiciones y en su totalidad "/>
    <n v="5"/>
    <n v="0"/>
    <n v="0"/>
    <n v="0"/>
    <n v="1"/>
    <n v="0"/>
    <n v="1"/>
    <m/>
    <m/>
    <s v="21299H405137"/>
    <s v="El cable de la sonda multiparametrica se encuentra con problemas ya que la sonda multiparametrica HL4 fue probada y corroborada antes de llevarla a terreno."/>
    <m/>
    <m/>
    <m/>
  </r>
  <r>
    <n v="385"/>
    <x v="2"/>
    <x v="1"/>
    <s v="Instalación de equipos para monitoreo de calidad de agua "/>
    <x v="68"/>
    <x v="204"/>
    <x v="5"/>
    <d v="2026-01-13T00:00:00"/>
    <s v="Patricio Cortes "/>
    <s v="Resumen Reunión de Seguridad – Accidentes Inicio de Año_x000a__x000a_Durante la reunión de seguridad realizada a raíz de los accidentes ocurridos a comienzos del año, se abordaron situaciones de alta gravedad que generan gran preocupación en la organización._x000a__x000a_Se informó un accidente en el proceso de corte con fusil, donde un trabajador sufrió la amputación de su dedo índice. Este evento refuerza la necesidad urgente de controlar los riesgos críticos que pueden generar accidentes con consecuencias fatales._x000a__x000a_En un periodo de tres semanas se han registrado tres accidentes, lo cual evidencia fallas en el cumplimiento de los procedimientos establecidos, tanto en tareas propias como en trabajos realizados por empresas colaboradoras y externas, incluso en labores rutinarias._x000a__x000a_Debido a esta situación, se tomó la decisión de detener las actividades por un día, con el objetivo de generar un espacio de reflexión, análisis y aprendizaje, priorizando siempre la seguridad y la vida de las personas._x000a__x000a_Se acordó:_x000a__x0009_•_x0009_Revisar los procesos por etapas, identificando riesgos y controles necesarios._x000a__x0009_•_x0009_Fortalecer el control de riesgos críticos, especialmente aquellos con potencial de fatalidad._x000a__x0009_•_x0009_Mejorar y reforzar los procedimientos de trabajo, evitando saltarse pasos establecidos._x000a__x0009_•_x0009_Exigir el cumplimiento estricto de las normas de seguridad, tanto a personal propio como a empresas externas._x000a__x000a_Se recalcó que nadie está obligado a realizar un trabajo si los riesgos no están debidamente controlados, y que la seguridad debe ser siempre la prioridad por sobre cualquier plazo o producción._x000a__x000a_La empresa reafirma su compromiso con la prevención de accidentes y hace un llamado a trabajar de manera responsable y consciente, entendiendo que la vida y la integridad de las personas es lo más importante."/>
    <n v="5"/>
    <n v="0"/>
    <n v="0"/>
    <n v="0"/>
    <n v="1"/>
    <n v="0"/>
    <n v="1"/>
    <m/>
    <m/>
    <s v="21299H405138"/>
    <s v="Queda pendiente poder identificar las variables que se tomarán de lectura, el punto en un punto que no llega internet. Se debe volver a corroborar las variables para su transmisión "/>
    <m/>
    <m/>
    <m/>
  </r>
  <r>
    <n v="385"/>
    <x v="2"/>
    <x v="1"/>
    <s v="Instalación de equipos para monitoreo de calidad de agua "/>
    <x v="2"/>
    <x v="131"/>
    <x v="3"/>
    <d v="2026-01-13T00:00:00"/>
    <s v="Patricio Cortes "/>
    <s v="Se deja conectado pendiente de configuración e integración de variables a leer "/>
    <n v="5"/>
    <n v="0"/>
    <n v="0"/>
    <n v="0"/>
    <n v="1"/>
    <n v="0"/>
    <n v="1"/>
    <s v="Sonda multiparamétrica"/>
    <s v="Sutron"/>
    <s v="Nodo 5"/>
    <s v="Voltaje en tablero:_x000a__x000a_V panel: 35V_x000a_V batería: 13,1V_x000a_V fte. in: 14,70V_x000a_V fte. Out: 23,12_x000a_Q: 1,94 L/s"/>
    <m/>
    <m/>
    <m/>
  </r>
  <r>
    <n v="385"/>
    <x v="2"/>
    <x v="1"/>
    <s v="Instalación de equipos para monitoreo de calidad de agua "/>
    <x v="2"/>
    <x v="131"/>
    <x v="3"/>
    <d v="2026-01-13T00:00:00"/>
    <s v="Patricio Cortes "/>
    <s v="Se deja conectado pendiente de configuración e integración de variables a leer "/>
    <n v="5"/>
    <n v="0"/>
    <n v="0"/>
    <n v="0"/>
    <n v="1"/>
    <n v="0"/>
    <n v="1"/>
    <s v="Sonda multiparamétrica"/>
    <s v="HL4"/>
    <s v="24012203"/>
    <s v="No se presentan observaciones "/>
    <m/>
    <m/>
    <m/>
  </r>
  <r>
    <n v="385"/>
    <x v="2"/>
    <x v="1"/>
    <s v="Instalación de equipos para monitoreo de calidad de agua "/>
    <x v="2"/>
    <x v="131"/>
    <x v="3"/>
    <d v="2026-01-13T00:00:00"/>
    <s v="Patricio Cortes "/>
    <s v="Se deja conectado pendiente de configuración e integración de variables a leer "/>
    <n v="5"/>
    <n v="0"/>
    <n v="0"/>
    <n v="0"/>
    <n v="1"/>
    <n v="0"/>
    <n v="1"/>
    <s v="Otro"/>
    <s v="SDI-12"/>
    <s v=".."/>
    <s v="Limpieza a panel"/>
    <m/>
    <m/>
    <m/>
  </r>
  <r>
    <n v="385"/>
    <x v="2"/>
    <x v="1"/>
    <s v="Instalación de equipos para monitoreo de calidad de agua "/>
    <x v="2"/>
    <x v="131"/>
    <x v="3"/>
    <d v="2026-01-13T00:00:00"/>
    <s v="Patricio Cortes "/>
    <s v="Se deja conectado pendiente de configuración e integración de variables a leer "/>
    <n v="5"/>
    <n v="0"/>
    <n v="0"/>
    <n v="0"/>
    <n v="1"/>
    <n v="0"/>
    <n v="1"/>
    <s v="Cableado"/>
    <s v="Cable de conexión de sonda multiparametrica y conector SDI-12"/>
    <s v="Nodo 6"/>
    <s v="Voltaje en tablero:_x000a__x000a_V panel: 33,8V_x000a_V batería: 13,29V_x000a_V fte. in: 13,30V_x000a_V fte. Out: 23,43_x000a_Q: 0,6 L/s"/>
    <m/>
    <m/>
    <m/>
  </r>
  <r>
    <n v="390"/>
    <x v="6"/>
    <x v="4"/>
    <s v="Instalación y montaje sistema solar 3050"/>
    <x v="12"/>
    <x v="132"/>
    <x v="0"/>
    <d v="2026-01-14T00:00:00"/>
    <s v="Paula Riquelme "/>
    <s v="Se realizo canalización e instalación de cableado solar, desde paneles solares hasta tablero inversor. Se valida el correcto funcionamiento _x000a_Se instala nuevo tablero de baterías "/>
    <n v="5"/>
    <n v="1"/>
    <n v="1"/>
    <n v="0"/>
    <n v="0"/>
    <n v="0"/>
    <n v="1"/>
    <m/>
    <m/>
    <s v="24012206"/>
    <s v="No se presentan observaciones "/>
    <m/>
    <m/>
    <m/>
  </r>
  <r>
    <n v="389"/>
    <x v="0"/>
    <x v="2"/>
    <s v="Resolución de tickets"/>
    <x v="0"/>
    <x v="86"/>
    <x v="0"/>
    <d v="2026-01-14T00:00:00"/>
    <s v="Superintendencia de recursos hidricos "/>
    <s v="Se acude a verificar la llave de paso hacia flowcell para conseguir una que sea DN15 con la capacidad de retención y que no se devuelva el agua hacia el pozo y quede el flowcell vacío._x000a__x000a_Observación_x000a_Se aprecia que la ventosa de la tuberia se encuentra deteriorada y con fuga de agua"/>
    <n v="5"/>
    <n v="1"/>
    <n v="1"/>
    <n v="0"/>
    <n v="1"/>
    <n v="0"/>
    <n v="1"/>
    <m/>
    <m/>
    <s v="..."/>
    <s v="Se realiza limpieza a panel fotovoltáico "/>
    <m/>
    <m/>
    <m/>
  </r>
  <r>
    <n v="389"/>
    <x v="0"/>
    <x v="2"/>
    <s v="Resolución de tickets"/>
    <x v="59"/>
    <x v="199"/>
    <x v="0"/>
    <d v="2026-01-14T00:00:00"/>
    <s v="Superintendencia de recursos hidricos "/>
    <s v="No estaba realizando carga de baterías en el tablero, además de no transmitir los datos hacia plataforma desde las 12 hrs aprox._x000a__x000a_Se regula fuente de voltaje para que realice carga de baterías._x000a_Además el equipo de automatización realiza seteo remoto en teltonika modificando señales de conexión de 2g y 3g a automático para que pueda realizar la transmisión de datos de manera más eficiente con cualquier tipo de señal (2g-3g-4g-auto)._x000a_Finalmente el punto realiza entrega de datos y carga de baterías quedando en normalidad "/>
    <n v="5"/>
    <n v="1"/>
    <n v="1"/>
    <n v="0"/>
    <n v="1"/>
    <n v="0"/>
    <n v="1"/>
    <m/>
    <m/>
    <s v="No solicitado"/>
    <m/>
    <m/>
    <m/>
    <m/>
  </r>
  <r>
    <n v="386"/>
    <x v="3"/>
    <x v="3"/>
    <s v="Integración Red industrial LT LoraWan"/>
    <x v="2"/>
    <x v="169"/>
    <x v="3"/>
    <d v="2026-01-14T00:00:00"/>
    <s v="Paula Riquelme "/>
    <s v="Integración Red LoraWan ok_x000a_Instalación de antena ok_x000a_Validación de datos ok."/>
    <n v="5"/>
    <n v="1"/>
    <n v="1"/>
    <n v="1"/>
    <n v="1"/>
    <n v="1"/>
    <n v="1"/>
    <s v="Otro"/>
    <s v="Uc300-915M "/>
    <s v="No solicitado"/>
    <s v="Biodiversa cabrera línea 2"/>
    <m/>
    <m/>
    <m/>
  </r>
  <r>
    <n v="386"/>
    <x v="3"/>
    <x v="3"/>
    <s v="Integración Red industrial LT LoraWan"/>
    <x v="2"/>
    <x v="87"/>
    <x v="3"/>
    <d v="2026-01-14T00:00:00"/>
    <s v="Paula Riquelme "/>
    <s v="Integración Red industrial LT LoraWan ok._x000a_Lectura de datos ok._x000a_Instalación antena ok._x000a_"/>
    <n v="5"/>
    <n v="1"/>
    <n v="1"/>
    <n v="1"/>
    <n v="1"/>
    <n v="1"/>
    <n v="1"/>
    <s v="Otro"/>
    <s v="Uc300-915M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m/>
    <m/>
    <m/>
  </r>
  <r>
    <n v="386"/>
    <x v="3"/>
    <x v="3"/>
    <s v="Integración Red industrial LT LoraWan"/>
    <x v="2"/>
    <x v="80"/>
    <x v="3"/>
    <d v="2026-01-14T00:00:00"/>
    <s v="Paula Riquelme "/>
    <s v="Integración Red industrial LT LoraWan ok._x000a_Instalación de antena ok_x000a_Validación de datos ok."/>
    <n v="5"/>
    <n v="1"/>
    <n v="1"/>
    <n v="1"/>
    <n v="1"/>
    <n v="1"/>
    <n v="1"/>
    <s v="Otro"/>
    <s v="Uc300-915M "/>
    <s v="N/a"/>
    <s v="Luz de indicación de viltaje se encuentra quemada puede deberse al cortocircuito ocasionado en tablero ds500"/>
    <m/>
    <m/>
    <m/>
  </r>
  <r>
    <n v="396"/>
    <x v="2"/>
    <x v="1"/>
    <s v="Conexión y configuración de equipos para monitorear calidad de agua  "/>
    <x v="2"/>
    <x v="131"/>
    <x v="3"/>
    <d v="2026-01-15T00:00:00"/>
    <s v="Patricia Cortes "/>
    <s v="Se genera la configuración del equipo Sutron y la sonda multiparametrica._x000a_Se validan los datos con una muestra tomado directamente del pozo._x000a_Se valida datos obtenidos de las variables leídas en terreno y contrastadas con la plataforma. _x000a_Queda pendiente integrar el micro tubo para generar el paso de flujo para el flowcell y verificar el proceso de entrada y salida. _x000a_"/>
    <n v="5"/>
    <n v="0"/>
    <n v="0"/>
    <n v="0"/>
    <n v="1"/>
    <n v="0"/>
    <n v="1"/>
    <s v="Otro"/>
    <s v="Flowcell"/>
    <s v="..."/>
    <s v="Sin observaciones "/>
    <m/>
    <m/>
    <m/>
  </r>
  <r>
    <n v="396"/>
    <x v="2"/>
    <x v="1"/>
    <s v="Conexión y configuración de equipos para monitorear calidad de agua  "/>
    <x v="2"/>
    <x v="205"/>
    <x v="3"/>
    <d v="2026-01-15T00:00:00"/>
    <s v="Patricia Cortes "/>
    <s v="Queda pendiente integración de case y sonda última para su configuración y validación de variables tomando muestra reales de la calidad de agua. "/>
    <n v="5"/>
    <n v="0"/>
    <n v="0"/>
    <n v="0"/>
    <n v="1"/>
    <n v="0"/>
    <n v="1"/>
    <s v="Tablero"/>
    <s v="Sutron "/>
    <s v="..."/>
    <s v="Se ubica sobre una base metálica para que no quede a ras de suelo"/>
    <m/>
    <m/>
    <m/>
  </r>
  <r>
    <n v="396"/>
    <x v="2"/>
    <x v="1"/>
    <s v="Conexión y configuración de equipos para monitorear calidad de agua  "/>
    <x v="2"/>
    <x v="205"/>
    <x v="3"/>
    <d v="2026-01-15T00:00:00"/>
    <s v="Patricia Cortes "/>
    <s v="Queda pendiente integración de case y sonda última para su configuración y validación de variables tomando muestra reales de la calidad de agua. "/>
    <n v="5"/>
    <n v="0"/>
    <n v="0"/>
    <n v="0"/>
    <n v="1"/>
    <n v="0"/>
    <n v="1"/>
    <s v="Cableado"/>
    <s v="Cable que hace la conexión entre la sonda multiparametrica y el equipo Sutron _x000a__x000a_"/>
    <s v="Batería nueva _x000a__x000a_1-. 190724 UUL10233_x000a_2-. 190724 UUL10234"/>
    <s v="Se realiza reemplazo de baterías marca NIMAC por unas Ultracell de mismas cualidades para asegurar la carga en estos días nublados que se aproximan."/>
    <m/>
    <m/>
    <m/>
  </r>
  <r>
    <n v="395"/>
    <x v="3"/>
    <x v="3"/>
    <s v="Integración Red industrial LT LoraWan "/>
    <x v="2"/>
    <x v="29"/>
    <x v="3"/>
    <d v="2026-01-15T00:00:00"/>
    <s v="Paula Riquelme "/>
    <s v="Instalación de uc 300 ok._x000a_Instalación de antena ok._x000a_Validación de datos ok."/>
    <n v="5"/>
    <n v="1"/>
    <n v="1"/>
    <n v="1"/>
    <n v="1"/>
    <n v="1"/>
    <n v="1"/>
    <s v="Otro"/>
    <s v="Uc300-915M "/>
    <s v="Instaladas _x000a__x000a_1-. MN2109014434_x000a_2-. MN2109014380_x000a__x000a_Retiradas (malas)_x000a__x000a_1-. MN2106010552_x000a_2-. MN2106011015"/>
    <s v="Se retiran baterías en mal estado _x000a_Se almacenan en bodega de cliente "/>
    <m/>
    <m/>
    <m/>
  </r>
  <r>
    <n v="395"/>
    <x v="3"/>
    <x v="3"/>
    <s v="Integración Red industrial LT LoraWan "/>
    <x v="2"/>
    <x v="42"/>
    <x v="3"/>
    <d v="2026-01-15T00:00:00"/>
    <s v="Paula Riquelme "/>
    <s v="Instalación de uc 300 ok._x000a_Instalación de antena ok._x000a_Validación de datos ok."/>
    <n v="5"/>
    <n v="1"/>
    <n v="1"/>
    <n v="1"/>
    <n v="1"/>
    <n v="1"/>
    <n v="1"/>
    <s v="Otro"/>
    <s v="Uc300-915M "/>
    <s v="NA"/>
    <s v="Se instalan cintas reflectores para que operadores visualicen hasta donde bajar cortinas para activación de sensor._x000a_PD: visita anterior adicional se conecta raspberrys a la alimentación, cable estaba pendiente "/>
    <m/>
    <m/>
    <m/>
  </r>
  <r>
    <n v="395"/>
    <x v="3"/>
    <x v="3"/>
    <s v="Integración Red industrial LT LoraWan "/>
    <x v="2"/>
    <x v="43"/>
    <x v="3"/>
    <d v="2026-01-15T00:00:00"/>
    <s v="Paula Riquelme "/>
    <s v="Instalación de uc 300 ok._x000a_Instalación de antena ok._x000a_Validación de datos ok."/>
    <n v="5"/>
    <n v="1"/>
    <n v="1"/>
    <n v="1"/>
    <n v="1"/>
    <n v="1"/>
    <n v="1"/>
    <s v="Otro"/>
    <s v="Uc300-915M "/>
    <s v="S/N PNEB-7618"/>
    <s v="Se retira sonda multiparamétrica instalada y se deja la calibrada"/>
    <m/>
    <m/>
    <m/>
  </r>
  <r>
    <n v="395"/>
    <x v="3"/>
    <x v="3"/>
    <s v="Integración Red industrial LT LoraWan "/>
    <x v="2"/>
    <x v="55"/>
    <x v="3"/>
    <d v="2026-01-15T00:00:00"/>
    <s v="Paula Riquelme "/>
    <s v="Instalación de uc 300 ok._x000a_Instalación de antena ok._x000a_Validación de datos ok."/>
    <n v="5"/>
    <n v="1"/>
    <n v="1"/>
    <n v="1"/>
    <n v="1"/>
    <n v="1"/>
    <n v="1"/>
    <s v="Otro"/>
    <s v="Uc300-915M "/>
    <s v="MC-20008Q"/>
    <s v="Se retira sonda multiparamétrica instalada y se deja instalada la calibrada "/>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1B7304-8C5B-B84E-825B-578237745F65}" name="TablaDinámica2" cacheId="36"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R3:Z211" firstHeaderRow="1" firstDataRow="2" firstDataCol="1"/>
  <pivotFields count="24">
    <pivotField dataField="1" compact="0" outline="0" showAll="0"/>
    <pivotField compact="0" outline="0" showAll="0"/>
    <pivotField compact="0" outline="0" showAll="0"/>
    <pivotField compact="0" outline="0" showAll="0"/>
    <pivotField compact="0" outline="0" showAll="0">
      <items count="70">
        <item x="9"/>
        <item x="57"/>
        <item x="64"/>
        <item x="60"/>
        <item x="17"/>
        <item x="55"/>
        <item x="7"/>
        <item x="59"/>
        <item x="33"/>
        <item x="25"/>
        <item x="1"/>
        <item x="32"/>
        <item x="6"/>
        <item x="5"/>
        <item x="40"/>
        <item x="34"/>
        <item x="62"/>
        <item x="21"/>
        <item x="58"/>
        <item x="63"/>
        <item x="10"/>
        <item x="14"/>
        <item x="13"/>
        <item x="19"/>
        <item x="54"/>
        <item x="3"/>
        <item x="11"/>
        <item x="24"/>
        <item x="0"/>
        <item x="46"/>
        <item x="15"/>
        <item x="22"/>
        <item x="30"/>
        <item x="2"/>
        <item x="4"/>
        <item x="37"/>
        <item x="45"/>
        <item x="36"/>
        <item x="53"/>
        <item x="12"/>
        <item x="68"/>
        <item x="56"/>
        <item x="16"/>
        <item x="47"/>
        <item x="48"/>
        <item x="38"/>
        <item x="8"/>
        <item x="26"/>
        <item x="42"/>
        <item x="43"/>
        <item x="39"/>
        <item x="23"/>
        <item x="27"/>
        <item x="51"/>
        <item x="35"/>
        <item x="52"/>
        <item x="44"/>
        <item x="61"/>
        <item x="67"/>
        <item x="65"/>
        <item x="66"/>
        <item x="18"/>
        <item x="28"/>
        <item x="29"/>
        <item x="31"/>
        <item x="50"/>
        <item x="20"/>
        <item x="41"/>
        <item x="49"/>
        <item t="default"/>
      </items>
    </pivotField>
    <pivotField axis="axisRow" compact="0" outline="0" showAll="0">
      <items count="207">
        <item x="48"/>
        <item x="162"/>
        <item x="199"/>
        <item x="175"/>
        <item x="88"/>
        <item x="75"/>
        <item x="116"/>
        <item x="115"/>
        <item x="6"/>
        <item x="13"/>
        <item x="102"/>
        <item x="93"/>
        <item x="14"/>
        <item x="69"/>
        <item x="185"/>
        <item x="23"/>
        <item x="68"/>
        <item x="39"/>
        <item x="38"/>
        <item x="65"/>
        <item x="161"/>
        <item x="8"/>
        <item x="179"/>
        <item x="126"/>
        <item x="171"/>
        <item x="22"/>
        <item x="49"/>
        <item x="137"/>
        <item x="170"/>
        <item x="172"/>
        <item x="57"/>
        <item x="37"/>
        <item x="81"/>
        <item x="40"/>
        <item x="98"/>
        <item x="31"/>
        <item x="52"/>
        <item x="164"/>
        <item x="91"/>
        <item x="27"/>
        <item x="92"/>
        <item x="28"/>
        <item x="96"/>
        <item x="53"/>
        <item x="59"/>
        <item x="60"/>
        <item x="61"/>
        <item x="62"/>
        <item x="63"/>
        <item x="86"/>
        <item x="4"/>
        <item x="121"/>
        <item x="3"/>
        <item x="2"/>
        <item x="5"/>
        <item x="85"/>
        <item x="10"/>
        <item x="11"/>
        <item x="16"/>
        <item x="17"/>
        <item x="163"/>
        <item x="90"/>
        <item x="25"/>
        <item x="26"/>
        <item x="156"/>
        <item x="157"/>
        <item x="30"/>
        <item x="158"/>
        <item x="50"/>
        <item x="56"/>
        <item x="177"/>
        <item x="1"/>
        <item x="122"/>
        <item x="47"/>
        <item x="0"/>
        <item x="192"/>
        <item x="183"/>
        <item x="155"/>
        <item x="200"/>
        <item x="190"/>
        <item x="189"/>
        <item x="178"/>
        <item x="64"/>
        <item x="58"/>
        <item x="159"/>
        <item x="71"/>
        <item x="201"/>
        <item x="32"/>
        <item x="99"/>
        <item x="33"/>
        <item x="80"/>
        <item x="87"/>
        <item x="169"/>
        <item x="29"/>
        <item x="42"/>
        <item x="43"/>
        <item x="55"/>
        <item x="135"/>
        <item x="202"/>
        <item x="131"/>
        <item x="205"/>
        <item x="51"/>
        <item x="19"/>
        <item x="148"/>
        <item x="143"/>
        <item x="109"/>
        <item x="7"/>
        <item x="149"/>
        <item x="142"/>
        <item x="153"/>
        <item x="119"/>
        <item x="95"/>
        <item x="45"/>
        <item x="46"/>
        <item x="35"/>
        <item x="34"/>
        <item x="36"/>
        <item x="132"/>
        <item x="89"/>
        <item x="76"/>
        <item x="77"/>
        <item x="83"/>
        <item x="144"/>
        <item x="146"/>
        <item x="66"/>
        <item x="67"/>
        <item x="78"/>
        <item x="82"/>
        <item x="152"/>
        <item x="84"/>
        <item x="134"/>
        <item x="180"/>
        <item x="203"/>
        <item x="113"/>
        <item x="123"/>
        <item x="168"/>
        <item x="9"/>
        <item x="193"/>
        <item x="79"/>
        <item x="21"/>
        <item x="145"/>
        <item x="128"/>
        <item x="167"/>
        <item x="150"/>
        <item x="204"/>
        <item x="41"/>
        <item x="184"/>
        <item x="73"/>
        <item x="105"/>
        <item x="187"/>
        <item x="188"/>
        <item x="108"/>
        <item x="106"/>
        <item x="103"/>
        <item x="104"/>
        <item x="141"/>
        <item x="120"/>
        <item x="44"/>
        <item x="54"/>
        <item x="15"/>
        <item x="165"/>
        <item x="72"/>
        <item x="176"/>
        <item x="74"/>
        <item x="160"/>
        <item x="24"/>
        <item x="166"/>
        <item x="173"/>
        <item x="130"/>
        <item x="129"/>
        <item x="124"/>
        <item x="198"/>
        <item x="112"/>
        <item x="147"/>
        <item x="101"/>
        <item x="111"/>
        <item x="117"/>
        <item x="20"/>
        <item x="100"/>
        <item x="18"/>
        <item x="114"/>
        <item x="110"/>
        <item x="182"/>
        <item x="12"/>
        <item x="186"/>
        <item x="127"/>
        <item x="136"/>
        <item x="94"/>
        <item x="97"/>
        <item x="139"/>
        <item x="140"/>
        <item x="174"/>
        <item x="70"/>
        <item x="133"/>
        <item x="154"/>
        <item x="118"/>
        <item x="181"/>
        <item x="151"/>
        <item x="107"/>
        <item x="138"/>
        <item x="191"/>
        <item x="125"/>
        <item x="194"/>
        <item x="195"/>
        <item x="196"/>
        <item x="197"/>
        <item t="default"/>
      </items>
    </pivotField>
    <pivotField axis="axisCol" compact="0" outline="0" showAll="0">
      <items count="8">
        <item x="4"/>
        <item x="6"/>
        <item x="3"/>
        <item x="5"/>
        <item x="1"/>
        <item x="2"/>
        <item x="0"/>
        <item t="default"/>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5"/>
  </rowFields>
  <rowItems count="2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t="grand">
      <x/>
    </i>
  </rowItems>
  <colFields count="1">
    <field x="6"/>
  </colFields>
  <colItems count="8">
    <i>
      <x/>
    </i>
    <i>
      <x v="1"/>
    </i>
    <i>
      <x v="2"/>
    </i>
    <i>
      <x v="3"/>
    </i>
    <i>
      <x v="4"/>
    </i>
    <i>
      <x v="5"/>
    </i>
    <i>
      <x v="6"/>
    </i>
    <i t="grand">
      <x/>
    </i>
  </colItems>
  <dataFields count="1">
    <dataField name="Cuenta de OT" fld="0" subtotal="count" baseField="0" baseItem="0"/>
  </dataFields>
  <formats count="12">
    <format dxfId="15">
      <pivotArea outline="0" fieldPosition="0">
        <references count="1">
          <reference field="5" count="1" selected="0">
            <x v="11"/>
          </reference>
        </references>
      </pivotArea>
    </format>
    <format dxfId="14">
      <pivotArea dataOnly="0" labelOnly="1" outline="0" fieldPosition="0">
        <references count="1">
          <reference field="5" count="1">
            <x v="11"/>
          </reference>
        </references>
      </pivotArea>
    </format>
    <format dxfId="13">
      <pivotArea outline="0" fieldPosition="0">
        <references count="1">
          <reference field="5" count="1" selected="0">
            <x v="117"/>
          </reference>
        </references>
      </pivotArea>
    </format>
    <format dxfId="12">
      <pivotArea dataOnly="0" labelOnly="1" outline="0" fieldPosition="0">
        <references count="1">
          <reference field="5" count="1">
            <x v="117"/>
          </reference>
        </references>
      </pivotArea>
    </format>
    <format dxfId="11">
      <pivotArea outline="0" fieldPosition="0">
        <references count="1">
          <reference field="5" count="1" selected="0">
            <x v="113"/>
          </reference>
        </references>
      </pivotArea>
    </format>
    <format dxfId="10">
      <pivotArea dataOnly="0" labelOnly="1" outline="0" fieldPosition="0">
        <references count="1">
          <reference field="5" count="1">
            <x v="113"/>
          </reference>
        </references>
      </pivotArea>
    </format>
    <format dxfId="9">
      <pivotArea outline="0" fieldPosition="0">
        <references count="1">
          <reference field="5" count="1" selected="0">
            <x v="96"/>
          </reference>
        </references>
      </pivotArea>
    </format>
    <format dxfId="8">
      <pivotArea dataOnly="0" labelOnly="1" outline="0" fieldPosition="0">
        <references count="1">
          <reference field="5" count="1">
            <x v="96"/>
          </reference>
        </references>
      </pivotArea>
    </format>
    <format dxfId="7">
      <pivotArea outline="0" fieldPosition="0">
        <references count="1">
          <reference field="5" count="1" selected="0">
            <x v="71"/>
          </reference>
        </references>
      </pivotArea>
    </format>
    <format dxfId="6">
      <pivotArea dataOnly="0" labelOnly="1" outline="0" fieldPosition="0">
        <references count="1">
          <reference field="5" count="1">
            <x v="71"/>
          </reference>
        </references>
      </pivotArea>
    </format>
    <format dxfId="5">
      <pivotArea outline="0" fieldPosition="0">
        <references count="1">
          <reference field="5" count="1" selected="0">
            <x v="49"/>
          </reference>
        </references>
      </pivotArea>
    </format>
    <format dxfId="4">
      <pivotArea dataOnly="0" labelOnly="1" outline="0" fieldPosition="0">
        <references count="1">
          <reference field="5" count="1">
            <x v="4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1700F9-4E18-744C-BA4A-04E48CEDB760}" name="TablaDinámica1" cacheId="3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24">
    <pivotField dataField="1" showAll="0"/>
    <pivotField axis="axisRow" showAll="0">
      <items count="16">
        <item x="11"/>
        <item x="3"/>
        <item x="8"/>
        <item x="9"/>
        <item x="1"/>
        <item x="4"/>
        <item x="0"/>
        <item x="5"/>
        <item x="13"/>
        <item x="14"/>
        <item x="2"/>
        <item x="6"/>
        <item x="12"/>
        <item x="7"/>
        <item x="10"/>
        <item t="default"/>
      </items>
    </pivotField>
    <pivotField showAll="0">
      <items count="6">
        <item x="0"/>
        <item x="3"/>
        <item x="4"/>
        <item x="2"/>
        <item x="1"/>
        <item t="default"/>
      </items>
    </pivotField>
    <pivotField showAll="0"/>
    <pivotField showAll="0">
      <items count="70">
        <item x="9"/>
        <item x="57"/>
        <item x="64"/>
        <item x="60"/>
        <item x="17"/>
        <item x="55"/>
        <item x="7"/>
        <item x="59"/>
        <item x="33"/>
        <item x="25"/>
        <item x="1"/>
        <item x="32"/>
        <item x="6"/>
        <item x="5"/>
        <item x="40"/>
        <item x="34"/>
        <item x="62"/>
        <item x="21"/>
        <item x="58"/>
        <item x="63"/>
        <item x="10"/>
        <item x="14"/>
        <item x="13"/>
        <item x="19"/>
        <item x="54"/>
        <item x="3"/>
        <item x="11"/>
        <item x="24"/>
        <item x="0"/>
        <item x="46"/>
        <item x="15"/>
        <item x="22"/>
        <item x="30"/>
        <item x="2"/>
        <item x="4"/>
        <item x="37"/>
        <item x="45"/>
        <item x="36"/>
        <item x="53"/>
        <item x="12"/>
        <item x="68"/>
        <item x="56"/>
        <item x="16"/>
        <item x="47"/>
        <item x="48"/>
        <item x="38"/>
        <item x="8"/>
        <item x="26"/>
        <item x="42"/>
        <item x="43"/>
        <item x="39"/>
        <item x="23"/>
        <item x="27"/>
        <item x="51"/>
        <item x="35"/>
        <item x="52"/>
        <item x="44"/>
        <item x="61"/>
        <item x="67"/>
        <item x="65"/>
        <item x="66"/>
        <item x="18"/>
        <item x="28"/>
        <item x="29"/>
        <item x="31"/>
        <item x="50"/>
        <item x="20"/>
        <item x="41"/>
        <item x="49"/>
        <item t="default"/>
      </items>
    </pivotField>
    <pivotField showAll="0"/>
    <pivotField showAll="0">
      <items count="8">
        <item x="4"/>
        <item x="6"/>
        <item x="3"/>
        <item x="5"/>
        <item x="1"/>
        <item x="2"/>
        <item x="0"/>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Cuenta de O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C144FF-F8BA-0042-8CC8-638EF8B29700}" name="Resumen" cacheId="3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A1:B9" firstHeaderRow="1" firstDataRow="1" firstDataCol="1"/>
  <pivotFields count="14">
    <pivotField dataField="1" showAll="0"/>
    <pivotField showAll="0"/>
    <pivotField showAll="0"/>
    <pivotField showAll="0"/>
    <pivotField showAll="0"/>
    <pivotField showAll="0"/>
    <pivotField axis="axisRow" showAll="0">
      <items count="8">
        <item x="4"/>
        <item x="6"/>
        <item x="3"/>
        <item x="5"/>
        <item x="1"/>
        <item x="2"/>
        <item x="0"/>
        <item t="default"/>
      </items>
    </pivotField>
    <pivotField numFmtId="14" showAll="0"/>
    <pivotField showAll="0"/>
    <pivotField showAll="0"/>
    <pivotField showAll="0"/>
    <pivotField showAll="0"/>
    <pivotField showAll="0"/>
    <pivotField showAll="0"/>
  </pivotFields>
  <rowFields count="1">
    <field x="6"/>
  </rowFields>
  <rowItems count="8">
    <i>
      <x/>
    </i>
    <i>
      <x v="1"/>
    </i>
    <i>
      <x v="2"/>
    </i>
    <i>
      <x v="3"/>
    </i>
    <i>
      <x v="4"/>
    </i>
    <i>
      <x v="5"/>
    </i>
    <i>
      <x v="6"/>
    </i>
    <i t="grand">
      <x/>
    </i>
  </rowItems>
  <colItems count="1">
    <i/>
  </colItems>
  <dataFields count="1">
    <dataField name="Cuenta de OT" fld="0"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6"/>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 chart="0" format="4">
      <pivotArea type="data" outline="0" fieldPosition="0">
        <references count="2">
          <reference field="4294967294" count="1" selected="0">
            <x v="0"/>
          </reference>
          <reference field="6" count="1" selected="0">
            <x v="2"/>
          </reference>
        </references>
      </pivotArea>
    </chartFormat>
    <chartFormat chart="0" format="5">
      <pivotArea type="data" outline="0" fieldPosition="0">
        <references count="2">
          <reference field="4294967294" count="1" selected="0">
            <x v="0"/>
          </reference>
          <reference field="6" count="1" selected="0">
            <x v="3"/>
          </reference>
        </references>
      </pivotArea>
    </chartFormat>
    <chartFormat chart="0" format="6">
      <pivotArea type="data" outline="0" fieldPosition="0">
        <references count="2">
          <reference field="4294967294" count="1" selected="0">
            <x v="0"/>
          </reference>
          <reference field="6" count="1" selected="0">
            <x v="4"/>
          </reference>
        </references>
      </pivotArea>
    </chartFormat>
    <chartFormat chart="0" format="7">
      <pivotArea type="data" outline="0" fieldPosition="0">
        <references count="2">
          <reference field="4294967294" count="1" selected="0">
            <x v="0"/>
          </reference>
          <reference field="6" count="1" selected="0">
            <x v="5"/>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6" count="1" selected="0">
            <x v="0"/>
          </reference>
        </references>
      </pivotArea>
    </chartFormat>
    <chartFormat chart="9" format="10">
      <pivotArea type="data" outline="0" fieldPosition="0">
        <references count="2">
          <reference field="4294967294" count="1" selected="0">
            <x v="0"/>
          </reference>
          <reference field="6" count="1" selected="0">
            <x v="1"/>
          </reference>
        </references>
      </pivotArea>
    </chartFormat>
    <chartFormat chart="9" format="11">
      <pivotArea type="data" outline="0" fieldPosition="0">
        <references count="2">
          <reference field="4294967294" count="1" selected="0">
            <x v="0"/>
          </reference>
          <reference field="6" count="1" selected="0">
            <x v="2"/>
          </reference>
        </references>
      </pivotArea>
    </chartFormat>
    <chartFormat chart="9" format="12">
      <pivotArea type="data" outline="0" fieldPosition="0">
        <references count="2">
          <reference field="4294967294" count="1" selected="0">
            <x v="0"/>
          </reference>
          <reference field="6" count="1" selected="0">
            <x v="3"/>
          </reference>
        </references>
      </pivotArea>
    </chartFormat>
    <chartFormat chart="9" format="13">
      <pivotArea type="data" outline="0" fieldPosition="0">
        <references count="2">
          <reference field="4294967294" count="1" selected="0">
            <x v="0"/>
          </reference>
          <reference field="6" count="1" selected="0">
            <x v="4"/>
          </reference>
        </references>
      </pivotArea>
    </chartFormat>
    <chartFormat chart="9" format="14">
      <pivotArea type="data" outline="0" fieldPosition="0">
        <references count="2">
          <reference field="4294967294" count="1" selected="0">
            <x v="0"/>
          </reference>
          <reference field="6" count="1" selected="0">
            <x v="5"/>
          </reference>
        </references>
      </pivotArea>
    </chartFormat>
    <chartFormat chart="9" format="15">
      <pivotArea type="data" outline="0" fieldPosition="0">
        <references count="2">
          <reference field="4294967294" count="1" selected="0">
            <x v="0"/>
          </reference>
          <reference field="6" count="1" selected="0">
            <x v="6"/>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6" count="1" selected="0">
            <x v="0"/>
          </reference>
        </references>
      </pivotArea>
    </chartFormat>
    <chartFormat chart="10" format="18">
      <pivotArea type="data" outline="0" fieldPosition="0">
        <references count="2">
          <reference field="4294967294" count="1" selected="0">
            <x v="0"/>
          </reference>
          <reference field="6" count="1" selected="0">
            <x v="1"/>
          </reference>
        </references>
      </pivotArea>
    </chartFormat>
    <chartFormat chart="10" format="19">
      <pivotArea type="data" outline="0" fieldPosition="0">
        <references count="2">
          <reference field="4294967294" count="1" selected="0">
            <x v="0"/>
          </reference>
          <reference field="6" count="1" selected="0">
            <x v="2"/>
          </reference>
        </references>
      </pivotArea>
    </chartFormat>
    <chartFormat chart="10" format="20">
      <pivotArea type="data" outline="0" fieldPosition="0">
        <references count="2">
          <reference field="4294967294" count="1" selected="0">
            <x v="0"/>
          </reference>
          <reference field="6" count="1" selected="0">
            <x v="3"/>
          </reference>
        </references>
      </pivotArea>
    </chartFormat>
    <chartFormat chart="10" format="21">
      <pivotArea type="data" outline="0" fieldPosition="0">
        <references count="2">
          <reference field="4294967294" count="1" selected="0">
            <x v="0"/>
          </reference>
          <reference field="6" count="1" selected="0">
            <x v="4"/>
          </reference>
        </references>
      </pivotArea>
    </chartFormat>
    <chartFormat chart="10" format="22">
      <pivotArea type="data" outline="0" fieldPosition="0">
        <references count="2">
          <reference field="4294967294" count="1" selected="0">
            <x v="0"/>
          </reference>
          <reference field="6" count="1" selected="0">
            <x v="5"/>
          </reference>
        </references>
      </pivotArea>
    </chartFormat>
    <chartFormat chart="10" format="23">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X517" totalsRowShown="0" headerRowDxfId="3" headerRowBorderDxfId="2" tableBorderDxfId="1">
  <autoFilter ref="A1:X517" xr:uid="{32CCDECC-D932-5D4F-9FF6-DAB914B6B73F}">
    <filterColumn colId="5">
      <filters>
        <filter val="[Global Tórtolas] Pozo BN3"/>
      </filters>
    </filterColumn>
  </autoFilter>
  <sortState xmlns:xlrd2="http://schemas.microsoft.com/office/spreadsheetml/2017/richdata2" ref="A2:N506">
    <sortCondition ref="G1:G506"/>
  </sortState>
  <tableColumns count="24">
    <tableColumn id="17" xr3:uid="{60ECA6AC-E90C-6A4C-ADB0-F90547C746B5}" name="OT"/>
    <tableColumn id="2" xr3:uid="{176D6BE5-59DA-844A-90BD-32081D8E71DF}" name="Técnico"/>
    <tableColumn id="3" xr3:uid="{1A012E14-53A8-1A45-AD75-EC01CC72EB8E}" name="Contrato"/>
    <tableColumn id="4" xr3:uid="{BA435AE8-87E6-3547-B57F-17A45088A51D}" name="Causa visita"/>
    <tableColumn id="5" xr3:uid="{E7DB3D66-7821-624C-802A-7AAD4493F770}" name="Proyecto"/>
    <tableColumn id="6" xr3:uid="{1891BA67-9582-8049-897F-010B976877CE}" name="Asset"/>
    <tableColumn id="7" xr3:uid="{02D97CCA-DB26-A744-A525-4F633D4BE123}" name="Tipo de trabajo"/>
    <tableColumn id="8" xr3:uid="{BF5C04ED-872E-6D4E-BF67-896A48D480CA}" name="Fecha visita" dataDxfId="0"/>
    <tableColumn id="9" xr3:uid="{BBA3AA5F-844E-A04B-A722-79CF80D59C66}" name="Cliente"/>
    <tableColumn id="10" xr3:uid="{5B5D3D08-522D-9944-9A77-6DFBACD321AB}" name="Resolución visita"/>
    <tableColumn id="11" xr3:uid="{29C3B60C-5E77-CD44-ADE8-4130FE9365BF}" name="Calidad del Servicio"/>
    <tableColumn id="12" xr3:uid="{494807C8-02F3-FA4C-AF07-D3083C6EF348}" name="PT (Permiso de trabajo)"/>
    <tableColumn id="13" xr3:uid="{3496EAB1-BFB6-714B-8036-D2D414BE4FC8}" name="DET (Análisis de Riesgos)"/>
    <tableColumn id="14" xr3:uid="{C33B60C4-4B87-864E-BF98-D19754FB2537}" name="Cinco Pasos para Trabajar Seguro"/>
    <tableColumn id="1" xr3:uid="{3F66F100-8154-1646-81A3-91A887F2334A}" name="Charla de 5 Minutos"/>
    <tableColumn id="15" xr3:uid="{B8678669-BDD1-5D48-BE32-F65C8F58A881}" name="Check List de Camioneta/ Somnolencia"/>
    <tableColumn id="16" xr3:uid="{F0F04ACB-0374-2D47-B98C-6A3F7DAD7682}" name="AST"/>
    <tableColumn id="18" xr3:uid="{F680275F-B5FB-4246-A321-1857FA81E2E5}" name="Equipo"/>
    <tableColumn id="19" xr3:uid="{5FE4FA0B-027D-5548-A349-8F20B0252337}" name="Modelo"/>
    <tableColumn id="20" xr3:uid="{A253DC00-33B6-3249-834E-C3A4763D5838}" name="N° de serie"/>
    <tableColumn id="21" xr3:uid="{41BC4214-D85B-3E4A-919E-E9DA89999C27}" name="Observaciones"/>
    <tableColumn id="22" xr3:uid="{DFC0AF7D-3394-F04C-B19E-0BCA16F90592}" name="Columna1"/>
    <tableColumn id="23" xr3:uid="{C1EFE3E4-75C3-9B41-88ED-F5DD68304DB7}" name="Columna2"/>
    <tableColumn id="24" xr3:uid="{959A3490-3C08-954F-BB2C-2F89B643F7A1}" name="Columna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8B011-23B9-5940-B062-C38D84494C11}">
  <dimension ref="A3:Z211"/>
  <sheetViews>
    <sheetView zoomScale="75" workbookViewId="0">
      <selection activeCell="U50" sqref="U50"/>
    </sheetView>
  </sheetViews>
  <sheetFormatPr baseColWidth="10" defaultRowHeight="15" x14ac:dyDescent="0.2"/>
  <cols>
    <col min="1" max="1" width="16.33203125" bestFit="1" customWidth="1"/>
    <col min="2" max="2" width="11.33203125" bestFit="1" customWidth="1"/>
    <col min="3" max="3" width="2.33203125" bestFit="1" customWidth="1"/>
    <col min="4" max="4" width="4.1640625" bestFit="1" customWidth="1"/>
    <col min="5" max="5" width="3.1640625" bestFit="1" customWidth="1"/>
    <col min="6" max="7" width="3.83203125" bestFit="1" customWidth="1"/>
    <col min="8" max="8" width="4.1640625" bestFit="1" customWidth="1"/>
    <col min="9" max="9" width="11.1640625" bestFit="1" customWidth="1"/>
    <col min="18" max="18" width="59.33203125" bestFit="1" customWidth="1"/>
    <col min="19" max="25" width="15.1640625" bestFit="1" customWidth="1"/>
    <col min="26" max="26" width="11.1640625" bestFit="1" customWidth="1"/>
  </cols>
  <sheetData>
    <row r="3" spans="1:26" x14ac:dyDescent="0.2">
      <c r="A3" s="4" t="s">
        <v>1116</v>
      </c>
      <c r="B3" t="s">
        <v>1118</v>
      </c>
      <c r="R3" s="4" t="s">
        <v>1118</v>
      </c>
      <c r="S3" s="4" t="s">
        <v>4</v>
      </c>
    </row>
    <row r="4" spans="1:26" x14ac:dyDescent="0.2">
      <c r="A4" s="5" t="s">
        <v>617</v>
      </c>
      <c r="B4">
        <v>6</v>
      </c>
      <c r="R4" s="4" t="s">
        <v>3</v>
      </c>
      <c r="S4" t="s">
        <v>36</v>
      </c>
      <c r="T4" t="s">
        <v>55</v>
      </c>
      <c r="U4" t="s">
        <v>220</v>
      </c>
      <c r="V4" t="s">
        <v>47</v>
      </c>
      <c r="W4" t="s">
        <v>200</v>
      </c>
      <c r="X4" t="s">
        <v>210</v>
      </c>
      <c r="Y4" t="s">
        <v>17</v>
      </c>
      <c r="Z4" t="s">
        <v>1117</v>
      </c>
    </row>
    <row r="5" spans="1:26" x14ac:dyDescent="0.2">
      <c r="A5" s="5" t="s">
        <v>106</v>
      </c>
      <c r="B5">
        <v>53</v>
      </c>
      <c r="R5" t="s">
        <v>121</v>
      </c>
      <c r="Y5">
        <v>1</v>
      </c>
      <c r="Z5">
        <v>1</v>
      </c>
    </row>
    <row r="6" spans="1:26" x14ac:dyDescent="0.2">
      <c r="A6" s="5" t="s">
        <v>61</v>
      </c>
      <c r="B6">
        <v>21</v>
      </c>
      <c r="R6" t="s">
        <v>1003</v>
      </c>
      <c r="Y6">
        <v>1</v>
      </c>
      <c r="Z6">
        <v>1</v>
      </c>
    </row>
    <row r="7" spans="1:26" x14ac:dyDescent="0.2">
      <c r="A7" s="5" t="s">
        <v>65</v>
      </c>
      <c r="B7">
        <v>33</v>
      </c>
      <c r="R7" t="s">
        <v>1190</v>
      </c>
      <c r="Y7">
        <v>2</v>
      </c>
      <c r="Z7">
        <v>2</v>
      </c>
    </row>
    <row r="8" spans="1:26" x14ac:dyDescent="0.2">
      <c r="A8" s="5" t="s">
        <v>22</v>
      </c>
      <c r="B8">
        <v>26</v>
      </c>
      <c r="R8" t="s">
        <v>988</v>
      </c>
      <c r="Y8">
        <v>1</v>
      </c>
      <c r="Z8">
        <v>1</v>
      </c>
    </row>
    <row r="9" spans="1:26" x14ac:dyDescent="0.2">
      <c r="A9" s="5" t="s">
        <v>28</v>
      </c>
      <c r="B9">
        <v>40</v>
      </c>
      <c r="R9" t="s">
        <v>524</v>
      </c>
      <c r="W9">
        <v>1</v>
      </c>
      <c r="Y9">
        <v>2</v>
      </c>
      <c r="Z9">
        <v>3</v>
      </c>
    </row>
    <row r="10" spans="1:26" x14ac:dyDescent="0.2">
      <c r="A10" s="5" t="s">
        <v>13</v>
      </c>
      <c r="B10">
        <v>118</v>
      </c>
      <c r="R10" t="s">
        <v>446</v>
      </c>
      <c r="S10">
        <v>1</v>
      </c>
      <c r="Z10">
        <v>1</v>
      </c>
    </row>
    <row r="11" spans="1:26" x14ac:dyDescent="0.2">
      <c r="A11" s="5" t="s">
        <v>78</v>
      </c>
      <c r="B11">
        <v>7</v>
      </c>
      <c r="R11" t="s">
        <v>649</v>
      </c>
      <c r="X11">
        <v>1</v>
      </c>
      <c r="Y11">
        <v>1</v>
      </c>
      <c r="Z11">
        <v>2</v>
      </c>
    </row>
    <row r="12" spans="1:26" x14ac:dyDescent="0.2">
      <c r="A12" s="5" t="s">
        <v>825</v>
      </c>
      <c r="B12">
        <v>6</v>
      </c>
      <c r="R12" t="s">
        <v>646</v>
      </c>
      <c r="W12">
        <v>1</v>
      </c>
      <c r="Y12">
        <v>1</v>
      </c>
      <c r="Z12">
        <v>2</v>
      </c>
    </row>
    <row r="13" spans="1:26" x14ac:dyDescent="0.2">
      <c r="A13" s="5" t="s">
        <v>1277</v>
      </c>
      <c r="B13">
        <v>5</v>
      </c>
      <c r="R13" t="s">
        <v>25</v>
      </c>
      <c r="Y13">
        <v>2</v>
      </c>
      <c r="Z13">
        <v>2</v>
      </c>
    </row>
    <row r="14" spans="1:26" x14ac:dyDescent="0.2">
      <c r="A14" s="5" t="s">
        <v>43</v>
      </c>
      <c r="B14">
        <v>85</v>
      </c>
      <c r="R14" t="s">
        <v>279</v>
      </c>
      <c r="U14">
        <v>2</v>
      </c>
      <c r="Z14">
        <v>2</v>
      </c>
    </row>
    <row r="15" spans="1:26" x14ac:dyDescent="0.2">
      <c r="A15" s="5" t="s">
        <v>125</v>
      </c>
      <c r="B15">
        <v>111</v>
      </c>
      <c r="R15" t="s">
        <v>642</v>
      </c>
      <c r="U15">
        <v>1</v>
      </c>
      <c r="Z15">
        <v>1</v>
      </c>
    </row>
    <row r="16" spans="1:26" x14ac:dyDescent="0.2">
      <c r="A16" s="5" t="s">
        <v>967</v>
      </c>
      <c r="B16">
        <v>3</v>
      </c>
      <c r="R16" s="7" t="s">
        <v>547</v>
      </c>
      <c r="S16" s="7"/>
      <c r="T16" s="7"/>
      <c r="U16" s="7">
        <v>16</v>
      </c>
      <c r="V16" s="7">
        <v>2</v>
      </c>
      <c r="W16" s="7"/>
      <c r="X16" s="7"/>
      <c r="Y16" s="7"/>
      <c r="Z16" s="7">
        <v>18</v>
      </c>
    </row>
    <row r="17" spans="1:26" x14ac:dyDescent="0.2">
      <c r="A17" s="5" t="s">
        <v>110</v>
      </c>
      <c r="B17">
        <v>1</v>
      </c>
      <c r="R17" t="s">
        <v>286</v>
      </c>
      <c r="U17">
        <v>1</v>
      </c>
      <c r="Z17">
        <v>1</v>
      </c>
    </row>
    <row r="18" spans="1:26" x14ac:dyDescent="0.2">
      <c r="A18" s="5" t="s">
        <v>183</v>
      </c>
      <c r="B18">
        <v>1</v>
      </c>
      <c r="R18" t="s">
        <v>180</v>
      </c>
      <c r="Y18">
        <v>1</v>
      </c>
      <c r="Z18">
        <v>1</v>
      </c>
    </row>
    <row r="19" spans="1:26" x14ac:dyDescent="0.2">
      <c r="A19" s="5" t="s">
        <v>1117</v>
      </c>
      <c r="B19">
        <v>516</v>
      </c>
      <c r="R19" t="s">
        <v>1121</v>
      </c>
      <c r="Y19">
        <v>1</v>
      </c>
      <c r="Z19">
        <v>1</v>
      </c>
    </row>
    <row r="20" spans="1:26" x14ac:dyDescent="0.2">
      <c r="R20" t="s">
        <v>81</v>
      </c>
      <c r="U20">
        <v>2</v>
      </c>
      <c r="V20">
        <v>2</v>
      </c>
      <c r="Z20">
        <v>4</v>
      </c>
    </row>
    <row r="21" spans="1:26" x14ac:dyDescent="0.2">
      <c r="R21" t="s">
        <v>424</v>
      </c>
      <c r="U21">
        <v>3</v>
      </c>
      <c r="Z21">
        <v>3</v>
      </c>
    </row>
    <row r="22" spans="1:26" x14ac:dyDescent="0.2">
      <c r="R22" t="s">
        <v>100</v>
      </c>
      <c r="Y22">
        <v>1</v>
      </c>
      <c r="Z22">
        <v>1</v>
      </c>
    </row>
    <row r="23" spans="1:26" x14ac:dyDescent="0.2">
      <c r="R23" t="s">
        <v>97</v>
      </c>
      <c r="S23">
        <v>1</v>
      </c>
      <c r="Y23">
        <v>2</v>
      </c>
      <c r="Z23">
        <v>3</v>
      </c>
    </row>
    <row r="24" spans="1:26" x14ac:dyDescent="0.2">
      <c r="R24" t="s">
        <v>186</v>
      </c>
      <c r="V24">
        <v>1</v>
      </c>
      <c r="Y24">
        <v>1</v>
      </c>
      <c r="Z24">
        <v>2</v>
      </c>
    </row>
    <row r="25" spans="1:26" x14ac:dyDescent="0.2">
      <c r="R25" t="s">
        <v>1029</v>
      </c>
      <c r="V25">
        <v>1</v>
      </c>
      <c r="Z25">
        <v>1</v>
      </c>
    </row>
    <row r="26" spans="1:26" x14ac:dyDescent="0.2">
      <c r="R26" t="s">
        <v>291</v>
      </c>
      <c r="W26">
        <v>2</v>
      </c>
      <c r="Z26">
        <v>2</v>
      </c>
    </row>
    <row r="27" spans="1:26" x14ac:dyDescent="0.2">
      <c r="R27" t="s">
        <v>1078</v>
      </c>
      <c r="Y27">
        <v>1</v>
      </c>
      <c r="Z27">
        <v>1</v>
      </c>
    </row>
    <row r="28" spans="1:26" x14ac:dyDescent="0.2">
      <c r="R28" t="s">
        <v>720</v>
      </c>
      <c r="Y28">
        <v>1</v>
      </c>
      <c r="Z28">
        <v>1</v>
      </c>
    </row>
    <row r="29" spans="1:26" x14ac:dyDescent="0.2">
      <c r="R29" t="s">
        <v>1023</v>
      </c>
      <c r="Y29">
        <v>1</v>
      </c>
      <c r="Z29">
        <v>1</v>
      </c>
    </row>
    <row r="30" spans="1:26" x14ac:dyDescent="0.2">
      <c r="R30" t="s">
        <v>156</v>
      </c>
      <c r="W30">
        <v>1</v>
      </c>
      <c r="X30">
        <v>3</v>
      </c>
      <c r="Y30">
        <v>4</v>
      </c>
      <c r="Z30">
        <v>8</v>
      </c>
    </row>
    <row r="31" spans="1:26" x14ac:dyDescent="0.2">
      <c r="R31" t="s">
        <v>123</v>
      </c>
      <c r="Y31">
        <v>2</v>
      </c>
      <c r="Z31">
        <v>2</v>
      </c>
    </row>
    <row r="32" spans="1:26" x14ac:dyDescent="0.2">
      <c r="R32" t="s">
        <v>779</v>
      </c>
      <c r="U32">
        <v>3</v>
      </c>
      <c r="Y32">
        <v>5</v>
      </c>
      <c r="Z32">
        <v>8</v>
      </c>
    </row>
    <row r="33" spans="18:26" x14ac:dyDescent="0.2">
      <c r="R33" t="s">
        <v>1021</v>
      </c>
      <c r="V33">
        <v>1</v>
      </c>
      <c r="Z33">
        <v>1</v>
      </c>
    </row>
    <row r="34" spans="18:26" x14ac:dyDescent="0.2">
      <c r="R34" t="s">
        <v>1025</v>
      </c>
      <c r="Y34">
        <v>1</v>
      </c>
      <c r="Z34">
        <v>1</v>
      </c>
    </row>
    <row r="35" spans="18:26" x14ac:dyDescent="0.2">
      <c r="R35" t="s">
        <v>379</v>
      </c>
      <c r="X35">
        <v>1</v>
      </c>
      <c r="Y35">
        <v>2</v>
      </c>
      <c r="Z35">
        <v>3</v>
      </c>
    </row>
    <row r="36" spans="18:26" x14ac:dyDescent="0.2">
      <c r="R36" t="s">
        <v>94</v>
      </c>
      <c r="Y36">
        <v>1</v>
      </c>
      <c r="Z36">
        <v>1</v>
      </c>
    </row>
    <row r="37" spans="18:26" x14ac:dyDescent="0.2">
      <c r="R37" t="s">
        <v>494</v>
      </c>
      <c r="Y37">
        <v>1</v>
      </c>
      <c r="Z37">
        <v>1</v>
      </c>
    </row>
    <row r="38" spans="18:26" x14ac:dyDescent="0.2">
      <c r="R38" t="s">
        <v>102</v>
      </c>
      <c r="X38">
        <v>1</v>
      </c>
      <c r="Y38">
        <v>2</v>
      </c>
      <c r="Z38">
        <v>3</v>
      </c>
    </row>
    <row r="39" spans="18:26" x14ac:dyDescent="0.2">
      <c r="R39" t="s">
        <v>575</v>
      </c>
      <c r="X39">
        <v>4</v>
      </c>
      <c r="Y39">
        <v>1</v>
      </c>
      <c r="Z39">
        <v>5</v>
      </c>
    </row>
    <row r="40" spans="18:26" x14ac:dyDescent="0.2">
      <c r="R40" t="s">
        <v>327</v>
      </c>
      <c r="W40">
        <v>1</v>
      </c>
      <c r="X40">
        <v>2</v>
      </c>
      <c r="Z40">
        <v>3</v>
      </c>
    </row>
    <row r="41" spans="18:26" x14ac:dyDescent="0.2">
      <c r="R41" t="s">
        <v>126</v>
      </c>
      <c r="Y41">
        <v>3</v>
      </c>
      <c r="Z41">
        <v>3</v>
      </c>
    </row>
    <row r="42" spans="18:26" x14ac:dyDescent="0.2">
      <c r="R42" t="s">
        <v>934</v>
      </c>
      <c r="Y42">
        <v>1</v>
      </c>
      <c r="Z42">
        <v>1</v>
      </c>
    </row>
    <row r="43" spans="18:26" x14ac:dyDescent="0.2">
      <c r="R43" t="s">
        <v>556</v>
      </c>
      <c r="X43">
        <v>2</v>
      </c>
      <c r="Y43">
        <v>1</v>
      </c>
      <c r="Z43">
        <v>3</v>
      </c>
    </row>
    <row r="44" spans="18:26" x14ac:dyDescent="0.2">
      <c r="R44" t="s">
        <v>316</v>
      </c>
      <c r="U44">
        <v>1</v>
      </c>
      <c r="Y44">
        <v>5</v>
      </c>
      <c r="Z44">
        <v>6</v>
      </c>
    </row>
    <row r="45" spans="18:26" x14ac:dyDescent="0.2">
      <c r="R45" t="s">
        <v>558</v>
      </c>
      <c r="X45">
        <v>2</v>
      </c>
      <c r="Y45">
        <v>1</v>
      </c>
      <c r="Z45">
        <v>3</v>
      </c>
    </row>
    <row r="46" spans="18:26" x14ac:dyDescent="0.2">
      <c r="R46" t="s">
        <v>104</v>
      </c>
      <c r="U46">
        <v>1</v>
      </c>
      <c r="Y46">
        <v>3</v>
      </c>
      <c r="Z46">
        <v>4</v>
      </c>
    </row>
    <row r="47" spans="18:26" x14ac:dyDescent="0.2">
      <c r="R47" t="s">
        <v>570</v>
      </c>
      <c r="Y47">
        <v>2</v>
      </c>
      <c r="Z47">
        <v>2</v>
      </c>
    </row>
    <row r="48" spans="18:26" x14ac:dyDescent="0.2">
      <c r="R48" t="s">
        <v>129</v>
      </c>
      <c r="U48">
        <v>1</v>
      </c>
      <c r="V48">
        <v>2</v>
      </c>
      <c r="X48">
        <v>1</v>
      </c>
      <c r="Y48">
        <v>2</v>
      </c>
      <c r="Z48">
        <v>6</v>
      </c>
    </row>
    <row r="49" spans="18:26" x14ac:dyDescent="0.2">
      <c r="R49" t="s">
        <v>165</v>
      </c>
      <c r="V49">
        <v>1</v>
      </c>
      <c r="X49">
        <v>1</v>
      </c>
      <c r="Y49">
        <v>5</v>
      </c>
      <c r="Z49">
        <v>7</v>
      </c>
    </row>
    <row r="50" spans="18:26" x14ac:dyDescent="0.2">
      <c r="R50" t="s">
        <v>167</v>
      </c>
      <c r="V50">
        <v>2</v>
      </c>
      <c r="X50">
        <v>3</v>
      </c>
      <c r="Z50">
        <v>5</v>
      </c>
    </row>
    <row r="51" spans="18:26" x14ac:dyDescent="0.2">
      <c r="R51" t="s">
        <v>168</v>
      </c>
      <c r="V51">
        <v>1</v>
      </c>
      <c r="X51">
        <v>1</v>
      </c>
      <c r="Y51">
        <v>1</v>
      </c>
      <c r="Z51">
        <v>3</v>
      </c>
    </row>
    <row r="52" spans="18:26" x14ac:dyDescent="0.2">
      <c r="R52" t="s">
        <v>169</v>
      </c>
      <c r="V52">
        <v>1</v>
      </c>
      <c r="W52">
        <v>1</v>
      </c>
      <c r="Y52">
        <v>3</v>
      </c>
      <c r="Z52">
        <v>5</v>
      </c>
    </row>
    <row r="53" spans="18:26" x14ac:dyDescent="0.2">
      <c r="R53" t="s">
        <v>170</v>
      </c>
      <c r="V53">
        <v>1</v>
      </c>
      <c r="Y53">
        <v>4</v>
      </c>
      <c r="Z53">
        <v>5</v>
      </c>
    </row>
    <row r="54" spans="18:26" x14ac:dyDescent="0.2">
      <c r="R54" s="7" t="s">
        <v>508</v>
      </c>
      <c r="S54" s="7"/>
      <c r="T54" s="7"/>
      <c r="U54" s="7"/>
      <c r="V54" s="7"/>
      <c r="W54" s="7">
        <v>1</v>
      </c>
      <c r="X54" s="7">
        <v>2</v>
      </c>
      <c r="Y54" s="7">
        <v>9</v>
      </c>
      <c r="Z54" s="7">
        <v>12</v>
      </c>
    </row>
    <row r="55" spans="18:26" x14ac:dyDescent="0.2">
      <c r="R55" t="s">
        <v>209</v>
      </c>
      <c r="X55">
        <v>2</v>
      </c>
      <c r="Y55">
        <v>1</v>
      </c>
      <c r="Z55">
        <v>3</v>
      </c>
    </row>
    <row r="56" spans="18:26" x14ac:dyDescent="0.2">
      <c r="R56" t="s">
        <v>704</v>
      </c>
      <c r="Y56">
        <v>2</v>
      </c>
      <c r="Z56">
        <v>2</v>
      </c>
    </row>
    <row r="57" spans="18:26" x14ac:dyDescent="0.2">
      <c r="R57" t="s">
        <v>206</v>
      </c>
      <c r="W57">
        <v>1</v>
      </c>
      <c r="Y57">
        <v>1</v>
      </c>
      <c r="Z57">
        <v>2</v>
      </c>
    </row>
    <row r="58" spans="18:26" x14ac:dyDescent="0.2">
      <c r="R58" t="s">
        <v>199</v>
      </c>
      <c r="W58">
        <v>1</v>
      </c>
      <c r="Y58">
        <v>1</v>
      </c>
      <c r="Z58">
        <v>2</v>
      </c>
    </row>
    <row r="59" spans="18:26" x14ac:dyDescent="0.2">
      <c r="R59" t="s">
        <v>216</v>
      </c>
      <c r="X59">
        <v>2</v>
      </c>
      <c r="Z59">
        <v>2</v>
      </c>
    </row>
    <row r="60" spans="18:26" x14ac:dyDescent="0.2">
      <c r="R60" t="s">
        <v>505</v>
      </c>
      <c r="Y60">
        <v>4</v>
      </c>
      <c r="Z60">
        <v>4</v>
      </c>
    </row>
    <row r="61" spans="18:26" x14ac:dyDescent="0.2">
      <c r="R61" t="s">
        <v>234</v>
      </c>
      <c r="X61">
        <v>2</v>
      </c>
      <c r="Z61">
        <v>2</v>
      </c>
    </row>
    <row r="62" spans="18:26" x14ac:dyDescent="0.2">
      <c r="R62" t="s">
        <v>242</v>
      </c>
      <c r="W62">
        <v>1</v>
      </c>
      <c r="X62">
        <v>2</v>
      </c>
      <c r="Z62">
        <v>3</v>
      </c>
    </row>
    <row r="63" spans="18:26" x14ac:dyDescent="0.2">
      <c r="R63" t="s">
        <v>258</v>
      </c>
      <c r="X63">
        <v>3</v>
      </c>
      <c r="Z63">
        <v>3</v>
      </c>
    </row>
    <row r="64" spans="18:26" x14ac:dyDescent="0.2">
      <c r="R64" t="s">
        <v>269</v>
      </c>
      <c r="X64">
        <v>3</v>
      </c>
      <c r="Z64">
        <v>3</v>
      </c>
    </row>
    <row r="65" spans="18:26" x14ac:dyDescent="0.2">
      <c r="R65" t="s">
        <v>932</v>
      </c>
      <c r="Y65">
        <v>1</v>
      </c>
      <c r="Z65">
        <v>1</v>
      </c>
    </row>
    <row r="66" spans="18:26" x14ac:dyDescent="0.2">
      <c r="R66" t="s">
        <v>553</v>
      </c>
      <c r="Y66">
        <v>2</v>
      </c>
      <c r="Z66">
        <v>2</v>
      </c>
    </row>
    <row r="67" spans="18:26" x14ac:dyDescent="0.2">
      <c r="R67" t="s">
        <v>57</v>
      </c>
      <c r="V67">
        <v>1</v>
      </c>
      <c r="Y67">
        <v>9</v>
      </c>
      <c r="Z67">
        <v>10</v>
      </c>
    </row>
    <row r="68" spans="18:26" x14ac:dyDescent="0.2">
      <c r="R68" t="s">
        <v>59</v>
      </c>
      <c r="Y68">
        <v>7</v>
      </c>
      <c r="Z68">
        <v>7</v>
      </c>
    </row>
    <row r="69" spans="18:26" x14ac:dyDescent="0.2">
      <c r="R69" t="s">
        <v>881</v>
      </c>
      <c r="Y69">
        <v>2</v>
      </c>
      <c r="Z69">
        <v>2</v>
      </c>
    </row>
    <row r="70" spans="18:26" x14ac:dyDescent="0.2">
      <c r="R70" t="s">
        <v>883</v>
      </c>
      <c r="Y70">
        <v>2</v>
      </c>
      <c r="Z70">
        <v>2</v>
      </c>
    </row>
    <row r="71" spans="18:26" x14ac:dyDescent="0.2">
      <c r="R71" t="s">
        <v>74</v>
      </c>
      <c r="U71">
        <v>1</v>
      </c>
      <c r="V71">
        <v>1</v>
      </c>
      <c r="Y71">
        <v>6</v>
      </c>
      <c r="Z71">
        <v>8</v>
      </c>
    </row>
    <row r="72" spans="18:26" x14ac:dyDescent="0.2">
      <c r="R72" t="s">
        <v>886</v>
      </c>
      <c r="Y72">
        <v>2</v>
      </c>
      <c r="Z72">
        <v>2</v>
      </c>
    </row>
    <row r="73" spans="18:26" x14ac:dyDescent="0.2">
      <c r="R73" t="s">
        <v>124</v>
      </c>
      <c r="Y73">
        <v>5</v>
      </c>
      <c r="Z73">
        <v>5</v>
      </c>
    </row>
    <row r="74" spans="18:26" x14ac:dyDescent="0.2">
      <c r="R74" t="s">
        <v>153</v>
      </c>
      <c r="X74">
        <v>3</v>
      </c>
      <c r="Y74">
        <v>2</v>
      </c>
      <c r="Z74">
        <v>5</v>
      </c>
    </row>
    <row r="75" spans="18:26" x14ac:dyDescent="0.2">
      <c r="R75" t="s">
        <v>1067</v>
      </c>
      <c r="Y75">
        <v>2</v>
      </c>
      <c r="Z75">
        <v>2</v>
      </c>
    </row>
    <row r="76" spans="18:26" x14ac:dyDescent="0.2">
      <c r="R76" s="7" t="s">
        <v>20</v>
      </c>
      <c r="S76" s="7"/>
      <c r="T76" s="7"/>
      <c r="U76" s="7"/>
      <c r="V76" s="7"/>
      <c r="W76" s="7"/>
      <c r="X76" s="7"/>
      <c r="Y76" s="7">
        <v>13</v>
      </c>
      <c r="Z76" s="7">
        <v>13</v>
      </c>
    </row>
    <row r="77" spans="18:26" x14ac:dyDescent="0.2">
      <c r="R77" t="s">
        <v>708</v>
      </c>
      <c r="Y77">
        <v>1</v>
      </c>
      <c r="Z77">
        <v>1</v>
      </c>
    </row>
    <row r="78" spans="18:26" x14ac:dyDescent="0.2">
      <c r="R78" t="s">
        <v>115</v>
      </c>
      <c r="U78">
        <v>1</v>
      </c>
      <c r="Y78">
        <v>3</v>
      </c>
      <c r="Z78">
        <v>4</v>
      </c>
    </row>
    <row r="79" spans="18:26" x14ac:dyDescent="0.2">
      <c r="R79" t="s">
        <v>16</v>
      </c>
      <c r="Y79">
        <v>2</v>
      </c>
      <c r="Z79">
        <v>2</v>
      </c>
    </row>
    <row r="80" spans="18:26" x14ac:dyDescent="0.2">
      <c r="R80" t="s">
        <v>1148</v>
      </c>
      <c r="U80">
        <v>1</v>
      </c>
      <c r="Z80">
        <v>1</v>
      </c>
    </row>
    <row r="81" spans="18:26" x14ac:dyDescent="0.2">
      <c r="R81" t="s">
        <v>1107</v>
      </c>
      <c r="U81">
        <v>1</v>
      </c>
      <c r="Y81">
        <v>2</v>
      </c>
      <c r="Z81">
        <v>3</v>
      </c>
    </row>
    <row r="82" spans="18:26" x14ac:dyDescent="0.2">
      <c r="R82" t="s">
        <v>889</v>
      </c>
      <c r="W82">
        <v>1</v>
      </c>
      <c r="Y82">
        <v>2</v>
      </c>
      <c r="Z82">
        <v>3</v>
      </c>
    </row>
    <row r="83" spans="18:26" x14ac:dyDescent="0.2">
      <c r="R83" t="s">
        <v>1184</v>
      </c>
      <c r="Y83">
        <v>1</v>
      </c>
      <c r="Z83">
        <v>1</v>
      </c>
    </row>
    <row r="84" spans="18:26" x14ac:dyDescent="0.2">
      <c r="R84" t="s">
        <v>1216</v>
      </c>
      <c r="U84">
        <v>1</v>
      </c>
      <c r="Z84">
        <v>1</v>
      </c>
    </row>
    <row r="85" spans="18:26" x14ac:dyDescent="0.2">
      <c r="R85" t="s">
        <v>1131</v>
      </c>
      <c r="U85">
        <v>2</v>
      </c>
      <c r="Z85">
        <v>2</v>
      </c>
    </row>
    <row r="86" spans="18:26" x14ac:dyDescent="0.2">
      <c r="R86" t="s">
        <v>1082</v>
      </c>
      <c r="U86">
        <v>1</v>
      </c>
      <c r="Z86">
        <v>1</v>
      </c>
    </row>
    <row r="87" spans="18:26" x14ac:dyDescent="0.2">
      <c r="R87" t="s">
        <v>417</v>
      </c>
      <c r="U87">
        <v>3</v>
      </c>
      <c r="V87">
        <v>1</v>
      </c>
      <c r="Z87">
        <v>4</v>
      </c>
    </row>
    <row r="88" spans="18:26" x14ac:dyDescent="0.2">
      <c r="R88" t="s">
        <v>393</v>
      </c>
      <c r="U88">
        <v>4</v>
      </c>
      <c r="Z88">
        <v>4</v>
      </c>
    </row>
    <row r="89" spans="18:26" x14ac:dyDescent="0.2">
      <c r="R89" t="s">
        <v>913</v>
      </c>
      <c r="U89">
        <v>2</v>
      </c>
      <c r="Z89">
        <v>2</v>
      </c>
    </row>
    <row r="90" spans="18:26" x14ac:dyDescent="0.2">
      <c r="R90" t="s">
        <v>438</v>
      </c>
      <c r="U90">
        <v>2</v>
      </c>
      <c r="Z90">
        <v>2</v>
      </c>
    </row>
    <row r="91" spans="18:26" x14ac:dyDescent="0.2">
      <c r="R91" t="s">
        <v>1186</v>
      </c>
      <c r="Y91">
        <v>1</v>
      </c>
      <c r="Z91">
        <v>1</v>
      </c>
    </row>
    <row r="92" spans="18:26" x14ac:dyDescent="0.2">
      <c r="R92" t="s">
        <v>63</v>
      </c>
      <c r="U92">
        <v>3</v>
      </c>
      <c r="V92">
        <v>2</v>
      </c>
      <c r="Y92">
        <v>2</v>
      </c>
      <c r="Z92">
        <v>7</v>
      </c>
    </row>
    <row r="93" spans="18:26" x14ac:dyDescent="0.2">
      <c r="R93" t="s">
        <v>581</v>
      </c>
      <c r="U93">
        <v>1</v>
      </c>
      <c r="Y93">
        <v>2</v>
      </c>
      <c r="Z93">
        <v>3</v>
      </c>
    </row>
    <row r="94" spans="18:26" x14ac:dyDescent="0.2">
      <c r="R94" t="s">
        <v>324</v>
      </c>
      <c r="U94">
        <v>2</v>
      </c>
      <c r="Y94">
        <v>1</v>
      </c>
      <c r="Z94">
        <v>3</v>
      </c>
    </row>
    <row r="95" spans="18:26" x14ac:dyDescent="0.2">
      <c r="R95" t="s">
        <v>477</v>
      </c>
      <c r="U95">
        <v>1</v>
      </c>
      <c r="Y95">
        <v>2</v>
      </c>
      <c r="Z95">
        <v>3</v>
      </c>
    </row>
    <row r="96" spans="18:26" x14ac:dyDescent="0.2">
      <c r="R96" t="s">
        <v>533</v>
      </c>
      <c r="U96">
        <v>3</v>
      </c>
      <c r="V96">
        <v>1</v>
      </c>
      <c r="Z96">
        <v>4</v>
      </c>
    </row>
    <row r="97" spans="18:26" x14ac:dyDescent="0.2">
      <c r="R97" t="s">
        <v>1008</v>
      </c>
      <c r="U97">
        <v>1</v>
      </c>
      <c r="Y97">
        <v>1</v>
      </c>
      <c r="Z97">
        <v>2</v>
      </c>
    </row>
    <row r="98" spans="18:26" x14ac:dyDescent="0.2">
      <c r="R98" t="s">
        <v>85</v>
      </c>
      <c r="U98">
        <v>2</v>
      </c>
      <c r="V98">
        <v>2</v>
      </c>
      <c r="Y98">
        <v>1</v>
      </c>
      <c r="Z98">
        <v>5</v>
      </c>
    </row>
    <row r="99" spans="18:26" x14ac:dyDescent="0.2">
      <c r="R99" t="s">
        <v>87</v>
      </c>
      <c r="U99">
        <v>3</v>
      </c>
      <c r="V99">
        <v>1</v>
      </c>
      <c r="Z99">
        <v>4</v>
      </c>
    </row>
    <row r="100" spans="18:26" x14ac:dyDescent="0.2">
      <c r="R100" t="s">
        <v>89</v>
      </c>
      <c r="U100">
        <v>2</v>
      </c>
      <c r="V100">
        <v>1</v>
      </c>
      <c r="Z100">
        <v>3</v>
      </c>
    </row>
    <row r="101" spans="18:26" x14ac:dyDescent="0.2">
      <c r="R101" s="7" t="s">
        <v>390</v>
      </c>
      <c r="S101" s="7"/>
      <c r="T101" s="7"/>
      <c r="U101" s="7">
        <v>6</v>
      </c>
      <c r="V101" s="7">
        <v>2</v>
      </c>
      <c r="W101" s="7"/>
      <c r="X101" s="7"/>
      <c r="Y101" s="7">
        <v>3</v>
      </c>
      <c r="Z101" s="7">
        <v>11</v>
      </c>
    </row>
    <row r="102" spans="18:26" x14ac:dyDescent="0.2">
      <c r="R102" t="s">
        <v>755</v>
      </c>
      <c r="W102">
        <v>3</v>
      </c>
      <c r="Y102">
        <v>1</v>
      </c>
      <c r="Z102">
        <v>4</v>
      </c>
    </row>
    <row r="103" spans="18:26" x14ac:dyDescent="0.2">
      <c r="R103" t="s">
        <v>1193</v>
      </c>
      <c r="U103">
        <v>1</v>
      </c>
      <c r="W103">
        <v>1</v>
      </c>
      <c r="Z103">
        <v>2</v>
      </c>
    </row>
    <row r="104" spans="18:26" x14ac:dyDescent="0.2">
      <c r="R104" t="s">
        <v>745</v>
      </c>
      <c r="U104">
        <v>5</v>
      </c>
      <c r="W104">
        <v>3</v>
      </c>
      <c r="Z104">
        <v>8</v>
      </c>
    </row>
    <row r="105" spans="18:26" x14ac:dyDescent="0.2">
      <c r="R105" t="s">
        <v>1310</v>
      </c>
      <c r="U105">
        <v>2</v>
      </c>
      <c r="Z105">
        <v>2</v>
      </c>
    </row>
    <row r="106" spans="18:26" x14ac:dyDescent="0.2">
      <c r="R106" t="s">
        <v>135</v>
      </c>
      <c r="V106">
        <v>2</v>
      </c>
      <c r="Z106">
        <v>2</v>
      </c>
    </row>
    <row r="107" spans="18:26" x14ac:dyDescent="0.2">
      <c r="R107" t="s">
        <v>133</v>
      </c>
      <c r="U107">
        <v>1</v>
      </c>
      <c r="V107">
        <v>2</v>
      </c>
      <c r="Z107">
        <v>3</v>
      </c>
    </row>
    <row r="108" spans="18:26" x14ac:dyDescent="0.2">
      <c r="R108" t="s">
        <v>840</v>
      </c>
      <c r="U108">
        <v>1</v>
      </c>
      <c r="Z108">
        <v>1</v>
      </c>
    </row>
    <row r="109" spans="18:26" x14ac:dyDescent="0.2">
      <c r="R109" t="s">
        <v>816</v>
      </c>
      <c r="U109">
        <v>3</v>
      </c>
      <c r="V109">
        <v>1</v>
      </c>
      <c r="Z109">
        <v>4</v>
      </c>
    </row>
    <row r="110" spans="18:26" x14ac:dyDescent="0.2">
      <c r="R110" t="s">
        <v>609</v>
      </c>
      <c r="Y110">
        <v>1</v>
      </c>
      <c r="Z110">
        <v>1</v>
      </c>
    </row>
    <row r="111" spans="18:26" x14ac:dyDescent="0.2">
      <c r="R111" t="s">
        <v>219</v>
      </c>
      <c r="U111">
        <v>4</v>
      </c>
      <c r="V111">
        <v>1</v>
      </c>
      <c r="Z111">
        <v>5</v>
      </c>
    </row>
    <row r="112" spans="18:26" x14ac:dyDescent="0.2">
      <c r="R112" t="s">
        <v>847</v>
      </c>
      <c r="U112">
        <v>3</v>
      </c>
      <c r="Z112">
        <v>3</v>
      </c>
    </row>
    <row r="113" spans="18:26" x14ac:dyDescent="0.2">
      <c r="R113" t="s">
        <v>811</v>
      </c>
      <c r="U113">
        <v>1</v>
      </c>
      <c r="V113">
        <v>1</v>
      </c>
      <c r="Z113">
        <v>2</v>
      </c>
    </row>
    <row r="114" spans="18:26" x14ac:dyDescent="0.2">
      <c r="R114" t="s">
        <v>852</v>
      </c>
      <c r="U114">
        <v>1</v>
      </c>
      <c r="V114">
        <v>1</v>
      </c>
      <c r="Y114">
        <v>2</v>
      </c>
      <c r="Z114">
        <v>4</v>
      </c>
    </row>
    <row r="115" spans="18:26" x14ac:dyDescent="0.2">
      <c r="R115" t="s">
        <v>696</v>
      </c>
      <c r="Y115">
        <v>1</v>
      </c>
      <c r="Z115">
        <v>1</v>
      </c>
    </row>
    <row r="116" spans="18:26" x14ac:dyDescent="0.2">
      <c r="R116" t="s">
        <v>538</v>
      </c>
      <c r="Y116">
        <v>1</v>
      </c>
      <c r="Z116">
        <v>1</v>
      </c>
    </row>
    <row r="117" spans="18:26" x14ac:dyDescent="0.2">
      <c r="R117" t="s">
        <v>138</v>
      </c>
      <c r="Y117">
        <v>4</v>
      </c>
      <c r="Z117">
        <v>4</v>
      </c>
    </row>
    <row r="118" spans="18:26" x14ac:dyDescent="0.2">
      <c r="R118" s="7" t="s">
        <v>140</v>
      </c>
      <c r="S118" s="7"/>
      <c r="T118" s="7"/>
      <c r="U118" s="7"/>
      <c r="V118" s="7"/>
      <c r="W118" s="7"/>
      <c r="X118" s="7"/>
      <c r="Y118" s="7">
        <v>12</v>
      </c>
      <c r="Z118" s="7">
        <v>12</v>
      </c>
    </row>
    <row r="119" spans="18:26" x14ac:dyDescent="0.2">
      <c r="R119" t="s">
        <v>69</v>
      </c>
      <c r="W119">
        <v>1</v>
      </c>
      <c r="Y119">
        <v>1</v>
      </c>
      <c r="Z119">
        <v>2</v>
      </c>
    </row>
    <row r="120" spans="18:26" x14ac:dyDescent="0.2">
      <c r="R120" t="s">
        <v>67</v>
      </c>
      <c r="Y120">
        <v>2</v>
      </c>
      <c r="Z120">
        <v>2</v>
      </c>
    </row>
    <row r="121" spans="18:26" x14ac:dyDescent="0.2">
      <c r="R121" t="s">
        <v>70</v>
      </c>
      <c r="Y121">
        <v>5</v>
      </c>
      <c r="Z121">
        <v>5</v>
      </c>
    </row>
    <row r="122" spans="18:26" x14ac:dyDescent="0.2">
      <c r="R122" s="7" t="s">
        <v>71</v>
      </c>
      <c r="S122" s="7"/>
      <c r="T122" s="7"/>
      <c r="U122" s="7">
        <v>5</v>
      </c>
      <c r="V122" s="7"/>
      <c r="W122" s="7"/>
      <c r="X122" s="7"/>
      <c r="Y122" s="7">
        <v>6</v>
      </c>
      <c r="Z122" s="7">
        <v>11</v>
      </c>
    </row>
    <row r="123" spans="18:26" x14ac:dyDescent="0.2">
      <c r="R123" t="s">
        <v>516</v>
      </c>
      <c r="W123">
        <v>1</v>
      </c>
      <c r="Y123">
        <v>2</v>
      </c>
      <c r="Z123">
        <v>3</v>
      </c>
    </row>
    <row r="124" spans="18:26" x14ac:dyDescent="0.2">
      <c r="R124" t="s">
        <v>457</v>
      </c>
      <c r="S124">
        <v>1</v>
      </c>
      <c r="Y124">
        <v>1</v>
      </c>
      <c r="Z124">
        <v>2</v>
      </c>
    </row>
    <row r="125" spans="18:26" x14ac:dyDescent="0.2">
      <c r="R125" t="s">
        <v>452</v>
      </c>
      <c r="S125">
        <v>1</v>
      </c>
      <c r="Z125">
        <v>1</v>
      </c>
    </row>
    <row r="126" spans="18:26" x14ac:dyDescent="0.2">
      <c r="R126" t="s">
        <v>491</v>
      </c>
      <c r="S126">
        <v>1</v>
      </c>
      <c r="Z126">
        <v>1</v>
      </c>
    </row>
    <row r="127" spans="18:26" x14ac:dyDescent="0.2">
      <c r="R127" t="s">
        <v>977</v>
      </c>
      <c r="U127">
        <v>1</v>
      </c>
      <c r="Z127">
        <v>1</v>
      </c>
    </row>
    <row r="128" spans="18:26" x14ac:dyDescent="0.2">
      <c r="R128" t="s">
        <v>970</v>
      </c>
      <c r="U128">
        <v>1</v>
      </c>
      <c r="Z128">
        <v>1</v>
      </c>
    </row>
    <row r="129" spans="18:26" x14ac:dyDescent="0.2">
      <c r="R129" t="s">
        <v>174</v>
      </c>
      <c r="V129">
        <v>1</v>
      </c>
      <c r="Y129">
        <v>1</v>
      </c>
      <c r="Z129">
        <v>2</v>
      </c>
    </row>
    <row r="130" spans="18:26" x14ac:dyDescent="0.2">
      <c r="R130" t="s">
        <v>176</v>
      </c>
      <c r="Y130">
        <v>1</v>
      </c>
      <c r="Z130">
        <v>1</v>
      </c>
    </row>
    <row r="131" spans="18:26" x14ac:dyDescent="0.2">
      <c r="R131" t="s">
        <v>483</v>
      </c>
      <c r="S131">
        <v>1</v>
      </c>
      <c r="Z131">
        <v>1</v>
      </c>
    </row>
    <row r="132" spans="18:26" x14ac:dyDescent="0.2">
      <c r="R132" t="s">
        <v>497</v>
      </c>
      <c r="Y132">
        <v>1</v>
      </c>
      <c r="Z132">
        <v>1</v>
      </c>
    </row>
    <row r="133" spans="18:26" x14ac:dyDescent="0.2">
      <c r="R133" t="s">
        <v>866</v>
      </c>
      <c r="Y133">
        <v>1</v>
      </c>
      <c r="Z133">
        <v>1</v>
      </c>
    </row>
    <row r="134" spans="18:26" x14ac:dyDescent="0.2">
      <c r="R134" t="s">
        <v>503</v>
      </c>
      <c r="Y134">
        <v>1</v>
      </c>
      <c r="Z134">
        <v>1</v>
      </c>
    </row>
    <row r="135" spans="18:26" x14ac:dyDescent="0.2">
      <c r="R135" t="s">
        <v>770</v>
      </c>
      <c r="Y135">
        <v>1</v>
      </c>
      <c r="Z135">
        <v>1</v>
      </c>
    </row>
    <row r="136" spans="18:26" x14ac:dyDescent="0.2">
      <c r="R136" t="s">
        <v>1093</v>
      </c>
      <c r="V136">
        <v>1</v>
      </c>
      <c r="Y136">
        <v>1</v>
      </c>
      <c r="Z136">
        <v>2</v>
      </c>
    </row>
    <row r="137" spans="18:26" x14ac:dyDescent="0.2">
      <c r="R137" t="s">
        <v>1225</v>
      </c>
      <c r="V137">
        <v>1</v>
      </c>
      <c r="Z137">
        <v>1</v>
      </c>
    </row>
    <row r="138" spans="18:26" x14ac:dyDescent="0.2">
      <c r="R138" t="s">
        <v>656</v>
      </c>
      <c r="Y138">
        <v>1</v>
      </c>
      <c r="Z138">
        <v>1</v>
      </c>
    </row>
    <row r="139" spans="18:26" x14ac:dyDescent="0.2">
      <c r="R139" t="s">
        <v>710</v>
      </c>
      <c r="Y139">
        <v>3</v>
      </c>
      <c r="Z139">
        <v>3</v>
      </c>
    </row>
    <row r="140" spans="18:26" x14ac:dyDescent="0.2">
      <c r="R140" t="s">
        <v>1015</v>
      </c>
      <c r="Y140">
        <v>1</v>
      </c>
      <c r="Z140">
        <v>1</v>
      </c>
    </row>
    <row r="141" spans="18:26" x14ac:dyDescent="0.2">
      <c r="R141" t="s">
        <v>30</v>
      </c>
      <c r="Y141">
        <v>1</v>
      </c>
      <c r="Z141">
        <v>1</v>
      </c>
    </row>
    <row r="142" spans="18:26" x14ac:dyDescent="0.2">
      <c r="R142" t="s">
        <v>1280</v>
      </c>
      <c r="V142">
        <v>1</v>
      </c>
      <c r="Z142">
        <v>1</v>
      </c>
    </row>
    <row r="143" spans="18:26" x14ac:dyDescent="0.2">
      <c r="R143" t="s">
        <v>485</v>
      </c>
      <c r="Y143">
        <v>1</v>
      </c>
      <c r="Z143">
        <v>1</v>
      </c>
    </row>
    <row r="144" spans="18:26" x14ac:dyDescent="0.2">
      <c r="R144" t="s">
        <v>41</v>
      </c>
      <c r="S144">
        <v>1</v>
      </c>
      <c r="Z144">
        <v>1</v>
      </c>
    </row>
    <row r="145" spans="18:26" x14ac:dyDescent="0.2">
      <c r="R145" t="s">
        <v>946</v>
      </c>
      <c r="Y145">
        <v>1</v>
      </c>
      <c r="Z145">
        <v>1</v>
      </c>
    </row>
    <row r="146" spans="18:26" x14ac:dyDescent="0.2">
      <c r="R146" t="s">
        <v>734</v>
      </c>
      <c r="Y146">
        <v>1</v>
      </c>
      <c r="Z146">
        <v>1</v>
      </c>
    </row>
    <row r="147" spans="18:26" x14ac:dyDescent="0.2">
      <c r="R147" t="s">
        <v>995</v>
      </c>
      <c r="Y147">
        <v>1</v>
      </c>
      <c r="Z147">
        <v>1</v>
      </c>
    </row>
    <row r="148" spans="18:26" x14ac:dyDescent="0.2">
      <c r="R148" t="s">
        <v>835</v>
      </c>
      <c r="Y148">
        <v>1</v>
      </c>
      <c r="Z148">
        <v>1</v>
      </c>
    </row>
    <row r="149" spans="18:26" x14ac:dyDescent="0.2">
      <c r="R149" t="s">
        <v>1227</v>
      </c>
      <c r="V149">
        <v>1</v>
      </c>
      <c r="Z149">
        <v>1</v>
      </c>
    </row>
    <row r="150" spans="18:26" x14ac:dyDescent="0.2">
      <c r="R150" t="s">
        <v>338</v>
      </c>
      <c r="U150">
        <v>1</v>
      </c>
      <c r="Z150">
        <v>1</v>
      </c>
    </row>
    <row r="151" spans="18:26" x14ac:dyDescent="0.2">
      <c r="R151" t="s">
        <v>1109</v>
      </c>
      <c r="Y151">
        <v>3</v>
      </c>
      <c r="Z151">
        <v>3</v>
      </c>
    </row>
    <row r="152" spans="18:26" x14ac:dyDescent="0.2">
      <c r="R152" t="s">
        <v>441</v>
      </c>
      <c r="Y152">
        <v>1</v>
      </c>
      <c r="Z152">
        <v>1</v>
      </c>
    </row>
    <row r="153" spans="18:26" x14ac:dyDescent="0.2">
      <c r="R153" t="s">
        <v>625</v>
      </c>
      <c r="V153">
        <v>1</v>
      </c>
      <c r="Z153">
        <v>1</v>
      </c>
    </row>
    <row r="154" spans="18:26" x14ac:dyDescent="0.2">
      <c r="R154" t="s">
        <v>1137</v>
      </c>
      <c r="Y154">
        <v>1</v>
      </c>
      <c r="Z154">
        <v>1</v>
      </c>
    </row>
    <row r="155" spans="18:26" x14ac:dyDescent="0.2">
      <c r="R155" t="s">
        <v>1139</v>
      </c>
      <c r="Y155">
        <v>1</v>
      </c>
      <c r="Z155">
        <v>1</v>
      </c>
    </row>
    <row r="156" spans="18:26" x14ac:dyDescent="0.2">
      <c r="R156" t="s">
        <v>631</v>
      </c>
      <c r="V156">
        <v>1</v>
      </c>
      <c r="Z156">
        <v>1</v>
      </c>
    </row>
    <row r="157" spans="18:26" x14ac:dyDescent="0.2">
      <c r="R157" t="s">
        <v>627</v>
      </c>
      <c r="V157">
        <v>1</v>
      </c>
      <c r="Z157">
        <v>1</v>
      </c>
    </row>
    <row r="158" spans="18:26" x14ac:dyDescent="0.2">
      <c r="R158" t="s">
        <v>620</v>
      </c>
      <c r="V158">
        <v>1</v>
      </c>
      <c r="Z158">
        <v>1</v>
      </c>
    </row>
    <row r="159" spans="18:26" x14ac:dyDescent="0.2">
      <c r="R159" t="s">
        <v>623</v>
      </c>
      <c r="V159">
        <v>1</v>
      </c>
      <c r="Z159">
        <v>1</v>
      </c>
    </row>
    <row r="160" spans="18:26" x14ac:dyDescent="0.2">
      <c r="R160" t="s">
        <v>803</v>
      </c>
      <c r="Y160">
        <v>1</v>
      </c>
      <c r="Z160">
        <v>1</v>
      </c>
    </row>
    <row r="161" spans="18:26" x14ac:dyDescent="0.2">
      <c r="R161" t="s">
        <v>1262</v>
      </c>
      <c r="Y161">
        <v>1</v>
      </c>
      <c r="Z161">
        <v>1</v>
      </c>
    </row>
    <row r="162" spans="18:26" x14ac:dyDescent="0.2">
      <c r="R162" t="s">
        <v>92</v>
      </c>
      <c r="U162">
        <v>9</v>
      </c>
      <c r="V162">
        <v>1</v>
      </c>
      <c r="Z162">
        <v>10</v>
      </c>
    </row>
    <row r="163" spans="18:26" x14ac:dyDescent="0.2">
      <c r="R163" t="s">
        <v>148</v>
      </c>
      <c r="Y163">
        <v>1</v>
      </c>
      <c r="Z163">
        <v>1</v>
      </c>
    </row>
    <row r="164" spans="18:26" x14ac:dyDescent="0.2">
      <c r="R164" t="s">
        <v>35</v>
      </c>
      <c r="S164">
        <v>1</v>
      </c>
      <c r="Y164">
        <v>1</v>
      </c>
      <c r="Z164">
        <v>2</v>
      </c>
    </row>
    <row r="165" spans="18:26" x14ac:dyDescent="0.2">
      <c r="R165" t="s">
        <v>936</v>
      </c>
      <c r="Y165">
        <v>1</v>
      </c>
      <c r="Z165">
        <v>1</v>
      </c>
    </row>
    <row r="166" spans="18:26" x14ac:dyDescent="0.2">
      <c r="R166" t="s">
        <v>462</v>
      </c>
      <c r="S166">
        <v>1</v>
      </c>
      <c r="Z166">
        <v>1</v>
      </c>
    </row>
    <row r="167" spans="18:26" x14ac:dyDescent="0.2">
      <c r="R167" t="s">
        <v>1035</v>
      </c>
      <c r="Y167">
        <v>1</v>
      </c>
      <c r="Z167">
        <v>1</v>
      </c>
    </row>
    <row r="168" spans="18:26" x14ac:dyDescent="0.2">
      <c r="R168" t="s">
        <v>465</v>
      </c>
      <c r="S168">
        <v>3</v>
      </c>
      <c r="Z168">
        <v>3</v>
      </c>
    </row>
    <row r="169" spans="18:26" x14ac:dyDescent="0.2">
      <c r="R169" t="s">
        <v>906</v>
      </c>
      <c r="Y169">
        <v>1</v>
      </c>
      <c r="Z169">
        <v>1</v>
      </c>
    </row>
    <row r="170" spans="18:26" x14ac:dyDescent="0.2">
      <c r="R170" t="s">
        <v>54</v>
      </c>
      <c r="T170">
        <v>1</v>
      </c>
      <c r="Z170">
        <v>1</v>
      </c>
    </row>
    <row r="171" spans="18:26" x14ac:dyDescent="0.2">
      <c r="R171" t="s">
        <v>941</v>
      </c>
      <c r="Y171">
        <v>1</v>
      </c>
      <c r="Z171">
        <v>1</v>
      </c>
    </row>
    <row r="172" spans="18:26" x14ac:dyDescent="0.2">
      <c r="R172" t="s">
        <v>1058</v>
      </c>
      <c r="Y172">
        <v>1</v>
      </c>
      <c r="Z172">
        <v>1</v>
      </c>
    </row>
    <row r="173" spans="18:26" x14ac:dyDescent="0.2">
      <c r="R173" t="s">
        <v>737</v>
      </c>
      <c r="Y173">
        <v>1</v>
      </c>
      <c r="Z173">
        <v>1</v>
      </c>
    </row>
    <row r="174" spans="18:26" x14ac:dyDescent="0.2">
      <c r="R174" t="s">
        <v>736</v>
      </c>
      <c r="Y174">
        <v>1</v>
      </c>
      <c r="Z174">
        <v>1</v>
      </c>
    </row>
    <row r="175" spans="18:26" x14ac:dyDescent="0.2">
      <c r="R175" t="s">
        <v>716</v>
      </c>
      <c r="Y175">
        <v>1</v>
      </c>
      <c r="Z175">
        <v>1</v>
      </c>
    </row>
    <row r="176" spans="18:26" x14ac:dyDescent="0.2">
      <c r="R176" t="s">
        <v>1188</v>
      </c>
      <c r="Y176">
        <v>1</v>
      </c>
      <c r="Z176">
        <v>1</v>
      </c>
    </row>
    <row r="177" spans="18:26" x14ac:dyDescent="0.2">
      <c r="R177" t="s">
        <v>616</v>
      </c>
      <c r="U177">
        <v>1</v>
      </c>
      <c r="Y177">
        <v>1</v>
      </c>
      <c r="Z177">
        <v>2</v>
      </c>
    </row>
    <row r="178" spans="18:26" x14ac:dyDescent="0.2">
      <c r="R178" t="s">
        <v>1270</v>
      </c>
      <c r="V178">
        <v>1</v>
      </c>
      <c r="Z178">
        <v>1</v>
      </c>
    </row>
    <row r="179" spans="18:26" x14ac:dyDescent="0.2">
      <c r="R179" t="s">
        <v>599</v>
      </c>
      <c r="V179">
        <v>1</v>
      </c>
      <c r="Z179">
        <v>1</v>
      </c>
    </row>
    <row r="180" spans="18:26" x14ac:dyDescent="0.2">
      <c r="R180" t="s">
        <v>614</v>
      </c>
      <c r="U180">
        <v>1</v>
      </c>
      <c r="Y180">
        <v>1</v>
      </c>
      <c r="Z180">
        <v>2</v>
      </c>
    </row>
    <row r="181" spans="18:26" x14ac:dyDescent="0.2">
      <c r="R181" t="s">
        <v>681</v>
      </c>
      <c r="V181">
        <v>1</v>
      </c>
      <c r="Z181">
        <v>1</v>
      </c>
    </row>
    <row r="182" spans="18:26" x14ac:dyDescent="0.2">
      <c r="R182" t="s">
        <v>46</v>
      </c>
      <c r="V182">
        <v>1</v>
      </c>
      <c r="Z182">
        <v>1</v>
      </c>
    </row>
    <row r="183" spans="18:26" x14ac:dyDescent="0.2">
      <c r="R183" t="s">
        <v>597</v>
      </c>
      <c r="V183">
        <v>1</v>
      </c>
      <c r="Z183">
        <v>1</v>
      </c>
    </row>
    <row r="184" spans="18:26" x14ac:dyDescent="0.2">
      <c r="R184" t="s">
        <v>250</v>
      </c>
      <c r="U184">
        <v>1</v>
      </c>
      <c r="V184">
        <v>1</v>
      </c>
      <c r="Z184">
        <v>2</v>
      </c>
    </row>
    <row r="185" spans="18:26" x14ac:dyDescent="0.2">
      <c r="R185" t="s">
        <v>659</v>
      </c>
      <c r="U185">
        <v>1</v>
      </c>
      <c r="Z185">
        <v>1</v>
      </c>
    </row>
    <row r="186" spans="18:26" x14ac:dyDescent="0.2">
      <c r="R186" t="s">
        <v>612</v>
      </c>
      <c r="Y186">
        <v>1</v>
      </c>
      <c r="Z186">
        <v>1</v>
      </c>
    </row>
    <row r="187" spans="18:26" x14ac:dyDescent="0.2">
      <c r="R187" t="s">
        <v>1100</v>
      </c>
      <c r="Y187">
        <v>1</v>
      </c>
      <c r="Z187">
        <v>1</v>
      </c>
    </row>
    <row r="188" spans="18:26" x14ac:dyDescent="0.2">
      <c r="R188" t="s">
        <v>228</v>
      </c>
      <c r="U188">
        <v>1</v>
      </c>
      <c r="Z188">
        <v>1</v>
      </c>
    </row>
    <row r="189" spans="18:26" x14ac:dyDescent="0.2">
      <c r="R189" t="s">
        <v>1127</v>
      </c>
      <c r="Y189">
        <v>1</v>
      </c>
      <c r="Z189">
        <v>1</v>
      </c>
    </row>
    <row r="190" spans="18:26" x14ac:dyDescent="0.2">
      <c r="R190" t="s">
        <v>722</v>
      </c>
      <c r="Y190">
        <v>1</v>
      </c>
      <c r="Z190">
        <v>1</v>
      </c>
    </row>
    <row r="191" spans="18:26" x14ac:dyDescent="0.2">
      <c r="R191" t="s">
        <v>794</v>
      </c>
      <c r="S191">
        <v>2</v>
      </c>
      <c r="Z191">
        <v>2</v>
      </c>
    </row>
    <row r="192" spans="18:26" x14ac:dyDescent="0.2">
      <c r="R192" t="s">
        <v>543</v>
      </c>
      <c r="V192">
        <v>1</v>
      </c>
      <c r="Z192">
        <v>1</v>
      </c>
    </row>
    <row r="193" spans="18:26" x14ac:dyDescent="0.2">
      <c r="R193" t="s">
        <v>573</v>
      </c>
      <c r="V193">
        <v>1</v>
      </c>
      <c r="Z193">
        <v>1</v>
      </c>
    </row>
    <row r="194" spans="18:26" x14ac:dyDescent="0.2">
      <c r="R194" t="s">
        <v>790</v>
      </c>
      <c r="Y194">
        <v>1</v>
      </c>
      <c r="Z194">
        <v>1</v>
      </c>
    </row>
    <row r="195" spans="18:26" x14ac:dyDescent="0.2">
      <c r="R195" t="s">
        <v>800</v>
      </c>
      <c r="Y195">
        <v>1</v>
      </c>
      <c r="Z195">
        <v>1</v>
      </c>
    </row>
    <row r="196" spans="18:26" x14ac:dyDescent="0.2">
      <c r="R196" t="s">
        <v>1039</v>
      </c>
      <c r="V196">
        <v>1</v>
      </c>
      <c r="Z196">
        <v>1</v>
      </c>
    </row>
    <row r="197" spans="18:26" x14ac:dyDescent="0.2">
      <c r="R197" t="s">
        <v>196</v>
      </c>
      <c r="Y197">
        <v>1</v>
      </c>
      <c r="Z197">
        <v>1</v>
      </c>
    </row>
    <row r="198" spans="18:26" x14ac:dyDescent="0.2">
      <c r="R198" t="s">
        <v>738</v>
      </c>
      <c r="V198">
        <v>1</v>
      </c>
      <c r="Z198">
        <v>1</v>
      </c>
    </row>
    <row r="199" spans="18:26" x14ac:dyDescent="0.2">
      <c r="R199" t="s">
        <v>870</v>
      </c>
      <c r="T199">
        <v>2</v>
      </c>
      <c r="U199">
        <v>1</v>
      </c>
      <c r="Z199">
        <v>3</v>
      </c>
    </row>
    <row r="200" spans="18:26" x14ac:dyDescent="0.2">
      <c r="R200" t="s">
        <v>676</v>
      </c>
      <c r="T200">
        <v>1</v>
      </c>
      <c r="Y200">
        <v>1</v>
      </c>
      <c r="Z200">
        <v>2</v>
      </c>
    </row>
    <row r="201" spans="18:26" x14ac:dyDescent="0.2">
      <c r="R201" t="s">
        <v>1089</v>
      </c>
      <c r="T201">
        <v>1</v>
      </c>
      <c r="Z201">
        <v>1</v>
      </c>
    </row>
    <row r="202" spans="18:26" x14ac:dyDescent="0.2">
      <c r="R202" t="s">
        <v>828</v>
      </c>
      <c r="U202">
        <v>1</v>
      </c>
      <c r="Z202">
        <v>1</v>
      </c>
    </row>
    <row r="203" spans="18:26" x14ac:dyDescent="0.2">
      <c r="R203" t="s">
        <v>629</v>
      </c>
      <c r="V203">
        <v>1</v>
      </c>
      <c r="Z203">
        <v>1</v>
      </c>
    </row>
    <row r="204" spans="18:26" x14ac:dyDescent="0.2">
      <c r="R204" t="s">
        <v>788</v>
      </c>
      <c r="Y204">
        <v>1</v>
      </c>
      <c r="Z204">
        <v>1</v>
      </c>
    </row>
    <row r="205" spans="18:26" x14ac:dyDescent="0.2">
      <c r="R205" t="s">
        <v>1158</v>
      </c>
      <c r="Y205">
        <v>1</v>
      </c>
      <c r="Z205">
        <v>1</v>
      </c>
    </row>
    <row r="206" spans="18:26" x14ac:dyDescent="0.2">
      <c r="R206" t="s">
        <v>718</v>
      </c>
      <c r="Y206">
        <v>1</v>
      </c>
      <c r="Z206">
        <v>1</v>
      </c>
    </row>
    <row r="207" spans="18:26" x14ac:dyDescent="0.2">
      <c r="R207" t="s">
        <v>1285</v>
      </c>
      <c r="V207">
        <v>1</v>
      </c>
      <c r="Z207">
        <v>1</v>
      </c>
    </row>
    <row r="208" spans="18:26" x14ac:dyDescent="0.2">
      <c r="R208" t="s">
        <v>1287</v>
      </c>
      <c r="V208">
        <v>1</v>
      </c>
      <c r="Z208">
        <v>1</v>
      </c>
    </row>
    <row r="209" spans="18:26" x14ac:dyDescent="0.2">
      <c r="R209" t="s">
        <v>1289</v>
      </c>
      <c r="V209">
        <v>1</v>
      </c>
      <c r="Z209">
        <v>1</v>
      </c>
    </row>
    <row r="210" spans="18:26" x14ac:dyDescent="0.2">
      <c r="R210" t="s">
        <v>1291</v>
      </c>
      <c r="V210">
        <v>1</v>
      </c>
      <c r="Z210">
        <v>1</v>
      </c>
    </row>
    <row r="211" spans="18:26" x14ac:dyDescent="0.2">
      <c r="R211" t="s">
        <v>1117</v>
      </c>
      <c r="S211">
        <v>14</v>
      </c>
      <c r="T211">
        <v>5</v>
      </c>
      <c r="U211">
        <v>120</v>
      </c>
      <c r="V211">
        <v>61</v>
      </c>
      <c r="W211">
        <v>21</v>
      </c>
      <c r="X211">
        <v>41</v>
      </c>
      <c r="Y211">
        <v>254</v>
      </c>
      <c r="Z211">
        <v>516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17"/>
  <sheetViews>
    <sheetView tabSelected="1" zoomScale="114" workbookViewId="0">
      <selection activeCell="E541" sqref="E541"/>
    </sheetView>
  </sheetViews>
  <sheetFormatPr baseColWidth="10" defaultColWidth="8.83203125" defaultRowHeight="15" x14ac:dyDescent="0.2"/>
  <cols>
    <col min="2" max="2" width="16.5" bestFit="1" customWidth="1"/>
    <col min="3" max="3" width="16.33203125" bestFit="1" customWidth="1"/>
    <col min="4" max="4" width="27.83203125" customWidth="1"/>
    <col min="5" max="5" width="17.6640625" customWidth="1"/>
    <col min="6" max="6" width="23" customWidth="1"/>
    <col min="7" max="7" width="15" customWidth="1"/>
    <col min="8" max="8" width="12.33203125" customWidth="1"/>
    <col min="9" max="9" width="28" customWidth="1"/>
    <col min="10" max="10" width="16.33203125" customWidth="1"/>
    <col min="11" max="11" width="18.5" customWidth="1"/>
    <col min="13" max="13" width="9.6640625" customWidth="1"/>
    <col min="14" max="14" width="11.83203125" customWidth="1"/>
    <col min="15" max="15" width="14.6640625" customWidth="1"/>
  </cols>
  <sheetData>
    <row r="1" spans="1:24" x14ac:dyDescent="0.2">
      <c r="A1" s="2" t="s">
        <v>1086</v>
      </c>
      <c r="B1" s="2" t="s">
        <v>0</v>
      </c>
      <c r="C1" s="2" t="s">
        <v>1237</v>
      </c>
      <c r="D1" s="2" t="s">
        <v>1</v>
      </c>
      <c r="E1" s="2" t="s">
        <v>2</v>
      </c>
      <c r="F1" s="2" t="s">
        <v>3</v>
      </c>
      <c r="G1" s="2" t="s">
        <v>4</v>
      </c>
      <c r="H1" s="2" t="s">
        <v>5</v>
      </c>
      <c r="I1" s="2" t="s">
        <v>6</v>
      </c>
      <c r="J1" s="2" t="s">
        <v>7</v>
      </c>
      <c r="K1" s="2" t="s">
        <v>8</v>
      </c>
      <c r="L1" s="2" t="s">
        <v>1238</v>
      </c>
      <c r="M1" s="2" t="s">
        <v>1239</v>
      </c>
      <c r="N1" s="2" t="s">
        <v>1240</v>
      </c>
      <c r="O1" s="2" t="s">
        <v>1241</v>
      </c>
      <c r="P1" s="2" t="s">
        <v>1242</v>
      </c>
      <c r="Q1" s="2" t="s">
        <v>1243</v>
      </c>
      <c r="R1" s="2" t="s">
        <v>9</v>
      </c>
      <c r="S1" s="2" t="s">
        <v>10</v>
      </c>
      <c r="T1" s="2" t="s">
        <v>11</v>
      </c>
      <c r="U1" s="2" t="s">
        <v>12</v>
      </c>
      <c r="V1" s="2" t="s">
        <v>1315</v>
      </c>
      <c r="W1" s="2" t="s">
        <v>1316</v>
      </c>
      <c r="X1" s="2" t="s">
        <v>1317</v>
      </c>
    </row>
    <row r="2" spans="1:24" hidden="1" x14ac:dyDescent="0.2">
      <c r="A2">
        <v>81</v>
      </c>
      <c r="B2" t="s">
        <v>13</v>
      </c>
      <c r="C2" t="s">
        <v>92</v>
      </c>
      <c r="D2" t="s">
        <v>14</v>
      </c>
      <c r="E2" t="s">
        <v>15</v>
      </c>
      <c r="F2" t="s">
        <v>16</v>
      </c>
      <c r="G2" t="s">
        <v>17</v>
      </c>
      <c r="H2" s="1">
        <v>45894</v>
      </c>
      <c r="I2" t="s">
        <v>18</v>
      </c>
      <c r="J2" t="s">
        <v>19</v>
      </c>
      <c r="K2">
        <v>3</v>
      </c>
      <c r="W2" s="1">
        <v>45894</v>
      </c>
    </row>
    <row r="3" spans="1:24" hidden="1" x14ac:dyDescent="0.2">
      <c r="A3">
        <v>81</v>
      </c>
      <c r="B3" t="s">
        <v>13</v>
      </c>
      <c r="C3" t="s">
        <v>92</v>
      </c>
      <c r="D3" t="s">
        <v>14</v>
      </c>
      <c r="E3" t="s">
        <v>15</v>
      </c>
      <c r="F3" t="s">
        <v>20</v>
      </c>
      <c r="G3" t="s">
        <v>17</v>
      </c>
      <c r="H3" s="1">
        <v>45894</v>
      </c>
      <c r="I3" t="s">
        <v>18</v>
      </c>
      <c r="J3" t="s">
        <v>21</v>
      </c>
      <c r="K3">
        <v>3</v>
      </c>
      <c r="W3" s="6">
        <f>H2-W2</f>
        <v>0</v>
      </c>
    </row>
    <row r="4" spans="1:24" hidden="1" x14ac:dyDescent="0.2">
      <c r="A4">
        <v>81</v>
      </c>
      <c r="B4" t="s">
        <v>13</v>
      </c>
      <c r="C4" t="s">
        <v>92</v>
      </c>
      <c r="D4" t="s">
        <v>14</v>
      </c>
      <c r="E4" t="s">
        <v>15</v>
      </c>
      <c r="F4" t="s">
        <v>199</v>
      </c>
      <c r="G4" t="s">
        <v>200</v>
      </c>
      <c r="H4" s="1">
        <v>45894</v>
      </c>
      <c r="I4" t="s">
        <v>18</v>
      </c>
      <c r="J4" t="s">
        <v>201</v>
      </c>
      <c r="K4">
        <v>3</v>
      </c>
      <c r="R4" t="s">
        <v>202</v>
      </c>
      <c r="S4" t="s">
        <v>203</v>
      </c>
    </row>
    <row r="5" spans="1:24" hidden="1" x14ac:dyDescent="0.2">
      <c r="A5">
        <v>81</v>
      </c>
      <c r="B5" t="s">
        <v>13</v>
      </c>
      <c r="C5" t="s">
        <v>92</v>
      </c>
      <c r="D5" t="s">
        <v>14</v>
      </c>
      <c r="E5" t="s">
        <v>15</v>
      </c>
      <c r="F5" t="s">
        <v>206</v>
      </c>
      <c r="G5" t="s">
        <v>200</v>
      </c>
      <c r="H5" s="1">
        <v>45894</v>
      </c>
      <c r="I5" t="s">
        <v>18</v>
      </c>
      <c r="J5" t="s">
        <v>201</v>
      </c>
      <c r="K5">
        <v>3</v>
      </c>
      <c r="R5" t="s">
        <v>202</v>
      </c>
      <c r="S5" t="s">
        <v>207</v>
      </c>
    </row>
    <row r="6" spans="1:24" hidden="1" x14ac:dyDescent="0.2">
      <c r="A6">
        <v>81</v>
      </c>
      <c r="B6" t="s">
        <v>13</v>
      </c>
      <c r="C6" t="s">
        <v>92</v>
      </c>
      <c r="D6" t="s">
        <v>14</v>
      </c>
      <c r="E6" t="s">
        <v>15</v>
      </c>
      <c r="F6" t="s">
        <v>209</v>
      </c>
      <c r="G6" t="s">
        <v>210</v>
      </c>
      <c r="H6" s="1">
        <v>45894</v>
      </c>
      <c r="I6" t="s">
        <v>18</v>
      </c>
      <c r="J6" t="s">
        <v>211</v>
      </c>
      <c r="K6">
        <v>3</v>
      </c>
      <c r="R6" t="s">
        <v>212</v>
      </c>
      <c r="S6" t="s">
        <v>213</v>
      </c>
    </row>
    <row r="7" spans="1:24" hidden="1" x14ac:dyDescent="0.2">
      <c r="A7">
        <v>81</v>
      </c>
      <c r="B7" t="s">
        <v>13</v>
      </c>
      <c r="C7" t="s">
        <v>92</v>
      </c>
      <c r="D7" t="s">
        <v>14</v>
      </c>
      <c r="E7" t="s">
        <v>15</v>
      </c>
      <c r="F7" t="s">
        <v>209</v>
      </c>
      <c r="G7" t="s">
        <v>210</v>
      </c>
      <c r="H7" s="1">
        <v>45894</v>
      </c>
      <c r="I7" t="s">
        <v>18</v>
      </c>
      <c r="J7" t="s">
        <v>211</v>
      </c>
      <c r="K7">
        <v>3</v>
      </c>
      <c r="R7" t="s">
        <v>214</v>
      </c>
      <c r="S7" t="s">
        <v>204</v>
      </c>
    </row>
    <row r="8" spans="1:24" hidden="1" x14ac:dyDescent="0.2">
      <c r="A8">
        <v>81</v>
      </c>
      <c r="B8" t="s">
        <v>13</v>
      </c>
      <c r="C8" t="s">
        <v>92</v>
      </c>
      <c r="D8" t="s">
        <v>14</v>
      </c>
      <c r="E8" t="s">
        <v>15</v>
      </c>
      <c r="F8" t="s">
        <v>216</v>
      </c>
      <c r="G8" t="s">
        <v>210</v>
      </c>
      <c r="H8" s="1">
        <v>45894</v>
      </c>
      <c r="I8" t="s">
        <v>18</v>
      </c>
      <c r="J8" t="s">
        <v>217</v>
      </c>
      <c r="K8">
        <v>3</v>
      </c>
      <c r="R8" t="s">
        <v>212</v>
      </c>
      <c r="S8" t="s">
        <v>204</v>
      </c>
    </row>
    <row r="9" spans="1:24" hidden="1" x14ac:dyDescent="0.2">
      <c r="A9">
        <v>81</v>
      </c>
      <c r="B9" t="s">
        <v>13</v>
      </c>
      <c r="C9" t="s">
        <v>92</v>
      </c>
      <c r="D9" t="s">
        <v>14</v>
      </c>
      <c r="E9" t="s">
        <v>15</v>
      </c>
      <c r="F9" t="s">
        <v>216</v>
      </c>
      <c r="G9" t="s">
        <v>210</v>
      </c>
      <c r="H9" s="1">
        <v>45894</v>
      </c>
      <c r="I9" t="s">
        <v>18</v>
      </c>
      <c r="J9" t="s">
        <v>217</v>
      </c>
      <c r="K9">
        <v>3</v>
      </c>
      <c r="R9" t="s">
        <v>214</v>
      </c>
      <c r="S9" t="s">
        <v>204</v>
      </c>
    </row>
    <row r="10" spans="1:24" hidden="1" x14ac:dyDescent="0.2">
      <c r="A10">
        <v>78</v>
      </c>
      <c r="B10" t="s">
        <v>22</v>
      </c>
      <c r="C10" t="s">
        <v>92</v>
      </c>
      <c r="D10" t="s">
        <v>23</v>
      </c>
      <c r="E10" t="s">
        <v>24</v>
      </c>
      <c r="F10" t="s">
        <v>25</v>
      </c>
      <c r="G10" t="s">
        <v>17</v>
      </c>
      <c r="H10" s="1">
        <v>45894</v>
      </c>
      <c r="I10" t="s">
        <v>26</v>
      </c>
      <c r="J10" t="s">
        <v>27</v>
      </c>
      <c r="K10">
        <v>3</v>
      </c>
    </row>
    <row r="11" spans="1:24" hidden="1" x14ac:dyDescent="0.2">
      <c r="A11">
        <v>76</v>
      </c>
      <c r="B11" t="s">
        <v>43</v>
      </c>
      <c r="C11" t="s">
        <v>92</v>
      </c>
      <c r="D11" t="s">
        <v>218</v>
      </c>
      <c r="E11" t="s">
        <v>62</v>
      </c>
      <c r="F11" t="s">
        <v>219</v>
      </c>
      <c r="G11" t="s">
        <v>220</v>
      </c>
      <c r="H11" s="1">
        <v>45894</v>
      </c>
      <c r="I11" t="s">
        <v>64</v>
      </c>
      <c r="J11" t="s">
        <v>221</v>
      </c>
      <c r="K11">
        <v>3</v>
      </c>
      <c r="R11" t="s">
        <v>222</v>
      </c>
      <c r="S11" t="s">
        <v>223</v>
      </c>
    </row>
    <row r="12" spans="1:24" hidden="1" x14ac:dyDescent="0.2">
      <c r="A12">
        <v>89</v>
      </c>
      <c r="B12" t="s">
        <v>106</v>
      </c>
      <c r="C12" t="s">
        <v>92</v>
      </c>
      <c r="D12" t="s">
        <v>289</v>
      </c>
      <c r="E12" t="s">
        <v>290</v>
      </c>
      <c r="F12" t="s">
        <v>291</v>
      </c>
      <c r="G12" t="s">
        <v>200</v>
      </c>
      <c r="H12" s="1">
        <v>45895</v>
      </c>
      <c r="I12" t="s">
        <v>292</v>
      </c>
      <c r="J12" t="s">
        <v>293</v>
      </c>
      <c r="K12">
        <v>3</v>
      </c>
      <c r="R12" t="s">
        <v>202</v>
      </c>
      <c r="S12" t="s">
        <v>294</v>
      </c>
    </row>
    <row r="13" spans="1:24" hidden="1" x14ac:dyDescent="0.2">
      <c r="A13">
        <v>89</v>
      </c>
      <c r="B13" t="s">
        <v>106</v>
      </c>
      <c r="C13" t="s">
        <v>92</v>
      </c>
      <c r="D13" t="s">
        <v>289</v>
      </c>
      <c r="E13" t="s">
        <v>290</v>
      </c>
      <c r="F13" t="s">
        <v>291</v>
      </c>
      <c r="G13" t="s">
        <v>200</v>
      </c>
      <c r="H13" s="1">
        <v>45895</v>
      </c>
      <c r="I13" t="s">
        <v>292</v>
      </c>
      <c r="J13" t="s">
        <v>293</v>
      </c>
      <c r="K13">
        <v>3</v>
      </c>
      <c r="R13" t="s">
        <v>202</v>
      </c>
      <c r="S13" t="s">
        <v>297</v>
      </c>
    </row>
    <row r="14" spans="1:24" hidden="1" x14ac:dyDescent="0.2">
      <c r="A14">
        <v>83</v>
      </c>
      <c r="B14" t="s">
        <v>28</v>
      </c>
      <c r="C14" t="s">
        <v>92</v>
      </c>
      <c r="E14" t="s">
        <v>29</v>
      </c>
      <c r="F14" t="s">
        <v>30</v>
      </c>
      <c r="G14" t="s">
        <v>17</v>
      </c>
      <c r="H14" s="1">
        <v>45895</v>
      </c>
      <c r="I14" t="s">
        <v>31</v>
      </c>
      <c r="J14" t="s">
        <v>32</v>
      </c>
      <c r="K14">
        <v>3</v>
      </c>
    </row>
    <row r="15" spans="1:24" hidden="1" x14ac:dyDescent="0.2">
      <c r="A15">
        <v>83</v>
      </c>
      <c r="B15" t="s">
        <v>28</v>
      </c>
      <c r="C15" t="s">
        <v>92</v>
      </c>
      <c r="E15" t="s">
        <v>15</v>
      </c>
      <c r="F15" t="s">
        <v>234</v>
      </c>
      <c r="G15" t="s">
        <v>210</v>
      </c>
      <c r="H15" s="1">
        <v>45895</v>
      </c>
      <c r="I15" t="s">
        <v>31</v>
      </c>
      <c r="J15" t="s">
        <v>235</v>
      </c>
      <c r="K15">
        <v>3</v>
      </c>
      <c r="R15" t="s">
        <v>214</v>
      </c>
      <c r="S15" t="s">
        <v>236</v>
      </c>
    </row>
    <row r="16" spans="1:24" hidden="1" x14ac:dyDescent="0.2">
      <c r="A16">
        <v>83</v>
      </c>
      <c r="B16" t="s">
        <v>28</v>
      </c>
      <c r="C16" t="s">
        <v>92</v>
      </c>
      <c r="E16" t="s">
        <v>15</v>
      </c>
      <c r="F16" t="s">
        <v>234</v>
      </c>
      <c r="G16" t="s">
        <v>210</v>
      </c>
      <c r="H16" s="1">
        <v>45895</v>
      </c>
      <c r="I16" t="s">
        <v>31</v>
      </c>
      <c r="J16" t="s">
        <v>235</v>
      </c>
      <c r="K16">
        <v>3</v>
      </c>
      <c r="R16" t="s">
        <v>212</v>
      </c>
      <c r="S16" t="s">
        <v>239</v>
      </c>
    </row>
    <row r="17" spans="1:19" hidden="1" x14ac:dyDescent="0.2">
      <c r="A17">
        <v>83</v>
      </c>
      <c r="B17" t="s">
        <v>28</v>
      </c>
      <c r="C17" t="s">
        <v>92</v>
      </c>
      <c r="E17" t="s">
        <v>15</v>
      </c>
      <c r="F17" t="s">
        <v>242</v>
      </c>
      <c r="G17" t="s">
        <v>210</v>
      </c>
      <c r="H17" s="1">
        <v>45895</v>
      </c>
      <c r="I17" t="s">
        <v>31</v>
      </c>
      <c r="J17" t="s">
        <v>243</v>
      </c>
      <c r="K17">
        <v>3</v>
      </c>
      <c r="R17" t="s">
        <v>214</v>
      </c>
      <c r="S17" t="s">
        <v>244</v>
      </c>
    </row>
    <row r="18" spans="1:19" hidden="1" x14ac:dyDescent="0.2">
      <c r="A18">
        <v>83</v>
      </c>
      <c r="B18" t="s">
        <v>28</v>
      </c>
      <c r="C18" t="s">
        <v>92</v>
      </c>
      <c r="E18" t="s">
        <v>15</v>
      </c>
      <c r="F18" t="s">
        <v>242</v>
      </c>
      <c r="G18" t="s">
        <v>210</v>
      </c>
      <c r="H18" s="1">
        <v>45895</v>
      </c>
      <c r="I18" t="s">
        <v>31</v>
      </c>
      <c r="J18" t="s">
        <v>243</v>
      </c>
      <c r="K18">
        <v>3</v>
      </c>
      <c r="R18" t="s">
        <v>212</v>
      </c>
      <c r="S18" t="s">
        <v>247</v>
      </c>
    </row>
    <row r="19" spans="1:19" hidden="1" x14ac:dyDescent="0.2">
      <c r="A19">
        <v>82</v>
      </c>
      <c r="B19" t="s">
        <v>78</v>
      </c>
      <c r="C19" t="s">
        <v>92</v>
      </c>
      <c r="D19" t="s">
        <v>226</v>
      </c>
      <c r="E19" t="s">
        <v>227</v>
      </c>
      <c r="F19" t="s">
        <v>228</v>
      </c>
      <c r="G19" t="s">
        <v>220</v>
      </c>
      <c r="H19" s="1">
        <v>45895</v>
      </c>
      <c r="I19" t="s">
        <v>229</v>
      </c>
      <c r="J19" t="s">
        <v>230</v>
      </c>
      <c r="K19">
        <v>3</v>
      </c>
      <c r="R19" t="s">
        <v>222</v>
      </c>
      <c r="S19" t="s">
        <v>231</v>
      </c>
    </row>
    <row r="20" spans="1:19" hidden="1" x14ac:dyDescent="0.2">
      <c r="A20">
        <v>88</v>
      </c>
      <c r="B20" t="s">
        <v>125</v>
      </c>
      <c r="C20" t="s">
        <v>92</v>
      </c>
      <c r="D20" t="s">
        <v>277</v>
      </c>
      <c r="E20" t="s">
        <v>278</v>
      </c>
      <c r="F20" t="s">
        <v>279</v>
      </c>
      <c r="G20" t="s">
        <v>220</v>
      </c>
      <c r="H20" s="1">
        <v>45896</v>
      </c>
      <c r="I20" t="s">
        <v>280</v>
      </c>
      <c r="J20" t="s">
        <v>281</v>
      </c>
      <c r="K20">
        <v>3</v>
      </c>
      <c r="R20" t="s">
        <v>282</v>
      </c>
      <c r="S20" t="s">
        <v>283</v>
      </c>
    </row>
    <row r="21" spans="1:19" hidden="1" x14ac:dyDescent="0.2">
      <c r="A21">
        <v>88</v>
      </c>
      <c r="B21" t="s">
        <v>125</v>
      </c>
      <c r="C21" t="s">
        <v>92</v>
      </c>
      <c r="D21" t="s">
        <v>277</v>
      </c>
      <c r="E21" t="s">
        <v>285</v>
      </c>
      <c r="F21" t="s">
        <v>286</v>
      </c>
      <c r="G21" t="s">
        <v>220</v>
      </c>
      <c r="H21" s="1">
        <v>45896</v>
      </c>
      <c r="I21" t="s">
        <v>280</v>
      </c>
      <c r="J21" t="s">
        <v>287</v>
      </c>
      <c r="K21">
        <v>3</v>
      </c>
      <c r="R21" t="s">
        <v>282</v>
      </c>
      <c r="S21" t="s">
        <v>283</v>
      </c>
    </row>
    <row r="22" spans="1:19" hidden="1" x14ac:dyDescent="0.2">
      <c r="A22">
        <v>87</v>
      </c>
      <c r="B22" t="s">
        <v>22</v>
      </c>
      <c r="C22" t="s">
        <v>92</v>
      </c>
      <c r="D22" t="s">
        <v>33</v>
      </c>
      <c r="E22" t="s">
        <v>34</v>
      </c>
      <c r="F22" t="s">
        <v>35</v>
      </c>
      <c r="G22" t="s">
        <v>36</v>
      </c>
      <c r="H22" s="1">
        <v>45896</v>
      </c>
      <c r="I22" t="s">
        <v>37</v>
      </c>
      <c r="J22" t="s">
        <v>38</v>
      </c>
      <c r="K22">
        <v>3</v>
      </c>
    </row>
    <row r="23" spans="1:19" hidden="1" x14ac:dyDescent="0.2">
      <c r="A23">
        <v>86</v>
      </c>
      <c r="B23" t="s">
        <v>13</v>
      </c>
      <c r="C23" t="s">
        <v>92</v>
      </c>
      <c r="D23" t="s">
        <v>257</v>
      </c>
      <c r="E23" t="s">
        <v>15</v>
      </c>
      <c r="F23" t="s">
        <v>258</v>
      </c>
      <c r="G23" t="s">
        <v>210</v>
      </c>
      <c r="H23" s="1">
        <v>45896</v>
      </c>
      <c r="I23" t="s">
        <v>18</v>
      </c>
      <c r="J23" t="s">
        <v>259</v>
      </c>
      <c r="K23">
        <v>3</v>
      </c>
      <c r="R23" t="s">
        <v>214</v>
      </c>
      <c r="S23" t="s">
        <v>260</v>
      </c>
    </row>
    <row r="24" spans="1:19" hidden="1" x14ac:dyDescent="0.2">
      <c r="A24">
        <v>86</v>
      </c>
      <c r="B24" t="s">
        <v>13</v>
      </c>
      <c r="C24" t="s">
        <v>92</v>
      </c>
      <c r="D24" t="s">
        <v>257</v>
      </c>
      <c r="E24" t="s">
        <v>15</v>
      </c>
      <c r="F24" t="s">
        <v>258</v>
      </c>
      <c r="G24" t="s">
        <v>210</v>
      </c>
      <c r="H24" s="1">
        <v>45896</v>
      </c>
      <c r="I24" t="s">
        <v>18</v>
      </c>
      <c r="J24" t="s">
        <v>259</v>
      </c>
      <c r="K24">
        <v>3</v>
      </c>
      <c r="R24" t="s">
        <v>212</v>
      </c>
      <c r="S24" t="s">
        <v>263</v>
      </c>
    </row>
    <row r="25" spans="1:19" hidden="1" x14ac:dyDescent="0.2">
      <c r="A25">
        <v>86</v>
      </c>
      <c r="B25" t="s">
        <v>13</v>
      </c>
      <c r="C25" t="s">
        <v>92</v>
      </c>
      <c r="D25" t="s">
        <v>257</v>
      </c>
      <c r="E25" t="s">
        <v>15</v>
      </c>
      <c r="F25" t="s">
        <v>258</v>
      </c>
      <c r="G25" t="s">
        <v>210</v>
      </c>
      <c r="H25" s="1">
        <v>45896</v>
      </c>
      <c r="I25" t="s">
        <v>18</v>
      </c>
      <c r="J25" t="s">
        <v>259</v>
      </c>
      <c r="K25">
        <v>3</v>
      </c>
      <c r="R25" t="s">
        <v>202</v>
      </c>
      <c r="S25" t="s">
        <v>266</v>
      </c>
    </row>
    <row r="26" spans="1:19" hidden="1" x14ac:dyDescent="0.2">
      <c r="A26">
        <v>86</v>
      </c>
      <c r="B26" t="s">
        <v>13</v>
      </c>
      <c r="C26" t="s">
        <v>92</v>
      </c>
      <c r="D26" t="s">
        <v>257</v>
      </c>
      <c r="E26" t="s">
        <v>15</v>
      </c>
      <c r="F26" t="s">
        <v>269</v>
      </c>
      <c r="G26" t="s">
        <v>210</v>
      </c>
      <c r="H26" s="1">
        <v>45896</v>
      </c>
      <c r="I26" t="s">
        <v>18</v>
      </c>
      <c r="J26" t="s">
        <v>270</v>
      </c>
      <c r="K26">
        <v>3</v>
      </c>
      <c r="R26" t="s">
        <v>214</v>
      </c>
      <c r="S26" t="s">
        <v>271</v>
      </c>
    </row>
    <row r="27" spans="1:19" hidden="1" x14ac:dyDescent="0.2">
      <c r="A27">
        <v>86</v>
      </c>
      <c r="B27" t="s">
        <v>13</v>
      </c>
      <c r="C27" t="s">
        <v>92</v>
      </c>
      <c r="D27" t="s">
        <v>257</v>
      </c>
      <c r="E27" t="s">
        <v>15</v>
      </c>
      <c r="F27" t="s">
        <v>269</v>
      </c>
      <c r="G27" t="s">
        <v>210</v>
      </c>
      <c r="H27" s="1">
        <v>45896</v>
      </c>
      <c r="I27" t="s">
        <v>18</v>
      </c>
      <c r="J27" t="s">
        <v>270</v>
      </c>
      <c r="K27">
        <v>3</v>
      </c>
      <c r="R27" t="s">
        <v>212</v>
      </c>
      <c r="S27" t="s">
        <v>274</v>
      </c>
    </row>
    <row r="28" spans="1:19" hidden="1" x14ac:dyDescent="0.2">
      <c r="A28">
        <v>86</v>
      </c>
      <c r="B28" t="s">
        <v>13</v>
      </c>
      <c r="C28" t="s">
        <v>92</v>
      </c>
      <c r="D28" t="s">
        <v>257</v>
      </c>
      <c r="E28" t="s">
        <v>15</v>
      </c>
      <c r="F28" t="s">
        <v>269</v>
      </c>
      <c r="G28" t="s">
        <v>210</v>
      </c>
      <c r="H28" s="1">
        <v>45896</v>
      </c>
      <c r="I28" t="s">
        <v>18</v>
      </c>
      <c r="J28" t="s">
        <v>270</v>
      </c>
      <c r="K28">
        <v>3</v>
      </c>
      <c r="R28" t="s">
        <v>202</v>
      </c>
      <c r="S28" t="s">
        <v>266</v>
      </c>
    </row>
    <row r="29" spans="1:19" hidden="1" x14ac:dyDescent="0.2">
      <c r="A29">
        <v>84</v>
      </c>
      <c r="B29" t="s">
        <v>43</v>
      </c>
      <c r="C29" t="s">
        <v>92</v>
      </c>
      <c r="D29" t="s">
        <v>249</v>
      </c>
      <c r="E29" t="s">
        <v>45</v>
      </c>
      <c r="F29" t="s">
        <v>250</v>
      </c>
      <c r="G29" t="s">
        <v>220</v>
      </c>
      <c r="H29" s="1">
        <v>45896</v>
      </c>
      <c r="I29" t="s">
        <v>48</v>
      </c>
      <c r="J29" t="s">
        <v>251</v>
      </c>
      <c r="K29">
        <v>3</v>
      </c>
      <c r="R29" t="s">
        <v>222</v>
      </c>
      <c r="S29" t="s">
        <v>252</v>
      </c>
    </row>
    <row r="30" spans="1:19" hidden="1" x14ac:dyDescent="0.2">
      <c r="A30">
        <v>84</v>
      </c>
      <c r="B30" t="s">
        <v>43</v>
      </c>
      <c r="C30" t="s">
        <v>92</v>
      </c>
      <c r="D30" t="s">
        <v>249</v>
      </c>
      <c r="E30" t="s">
        <v>62</v>
      </c>
      <c r="F30" t="s">
        <v>133</v>
      </c>
      <c r="G30" t="s">
        <v>220</v>
      </c>
      <c r="H30" s="1">
        <v>45896</v>
      </c>
      <c r="I30" t="s">
        <v>48</v>
      </c>
      <c r="J30" t="s">
        <v>254</v>
      </c>
      <c r="K30">
        <v>3</v>
      </c>
      <c r="R30" t="s">
        <v>222</v>
      </c>
      <c r="S30" t="s">
        <v>252</v>
      </c>
    </row>
    <row r="31" spans="1:19" hidden="1" x14ac:dyDescent="0.2">
      <c r="A31">
        <v>92</v>
      </c>
      <c r="B31" t="s">
        <v>43</v>
      </c>
      <c r="C31" t="s">
        <v>92</v>
      </c>
      <c r="D31" t="s">
        <v>44</v>
      </c>
      <c r="E31" t="s">
        <v>45</v>
      </c>
      <c r="F31" t="s">
        <v>46</v>
      </c>
      <c r="G31" t="s">
        <v>47</v>
      </c>
      <c r="H31" s="1">
        <v>45897</v>
      </c>
      <c r="I31" t="s">
        <v>48</v>
      </c>
      <c r="J31" t="s">
        <v>49</v>
      </c>
      <c r="K31">
        <v>3</v>
      </c>
    </row>
    <row r="32" spans="1:19" hidden="1" x14ac:dyDescent="0.2">
      <c r="A32">
        <v>91</v>
      </c>
      <c r="B32" t="s">
        <v>13</v>
      </c>
      <c r="C32" t="s">
        <v>92</v>
      </c>
      <c r="D32" t="s">
        <v>39</v>
      </c>
      <c r="E32" t="s">
        <v>40</v>
      </c>
      <c r="F32" t="s">
        <v>41</v>
      </c>
      <c r="G32" t="s">
        <v>36</v>
      </c>
      <c r="H32" s="1">
        <v>45897</v>
      </c>
      <c r="I32" t="s">
        <v>18</v>
      </c>
      <c r="J32" t="s">
        <v>42</v>
      </c>
      <c r="K32">
        <v>3</v>
      </c>
    </row>
    <row r="33" spans="1:19" hidden="1" x14ac:dyDescent="0.2">
      <c r="A33">
        <v>91</v>
      </c>
      <c r="B33" t="s">
        <v>13</v>
      </c>
      <c r="C33" t="s">
        <v>92</v>
      </c>
      <c r="D33" t="s">
        <v>39</v>
      </c>
      <c r="E33" t="s">
        <v>15</v>
      </c>
      <c r="F33" t="s">
        <v>156</v>
      </c>
      <c r="G33" t="s">
        <v>210</v>
      </c>
      <c r="H33" s="1">
        <v>45897</v>
      </c>
      <c r="I33" t="s">
        <v>18</v>
      </c>
      <c r="J33" t="s">
        <v>300</v>
      </c>
      <c r="K33">
        <v>3</v>
      </c>
      <c r="R33" t="s">
        <v>214</v>
      </c>
      <c r="S33" t="s">
        <v>301</v>
      </c>
    </row>
    <row r="34" spans="1:19" hidden="1" x14ac:dyDescent="0.2">
      <c r="A34">
        <v>91</v>
      </c>
      <c r="B34" t="s">
        <v>13</v>
      </c>
      <c r="C34" t="s">
        <v>92</v>
      </c>
      <c r="D34" t="s">
        <v>39</v>
      </c>
      <c r="E34" t="s">
        <v>15</v>
      </c>
      <c r="F34" t="s">
        <v>156</v>
      </c>
      <c r="G34" t="s">
        <v>210</v>
      </c>
      <c r="H34" s="1">
        <v>45897</v>
      </c>
      <c r="I34" t="s">
        <v>18</v>
      </c>
      <c r="J34" t="s">
        <v>300</v>
      </c>
      <c r="K34">
        <v>3</v>
      </c>
      <c r="R34" t="s">
        <v>202</v>
      </c>
      <c r="S34" t="s">
        <v>266</v>
      </c>
    </row>
    <row r="35" spans="1:19" hidden="1" x14ac:dyDescent="0.2">
      <c r="A35">
        <v>91</v>
      </c>
      <c r="B35" t="s">
        <v>13</v>
      </c>
      <c r="C35" t="s">
        <v>92</v>
      </c>
      <c r="D35" t="s">
        <v>39</v>
      </c>
      <c r="E35" t="s">
        <v>15</v>
      </c>
      <c r="F35" t="s">
        <v>156</v>
      </c>
      <c r="G35" t="s">
        <v>200</v>
      </c>
      <c r="H35" s="1">
        <v>45897</v>
      </c>
      <c r="I35" t="s">
        <v>18</v>
      </c>
      <c r="J35" t="s">
        <v>300</v>
      </c>
      <c r="K35">
        <v>3</v>
      </c>
      <c r="R35" t="s">
        <v>202</v>
      </c>
      <c r="S35" t="s">
        <v>304</v>
      </c>
    </row>
    <row r="36" spans="1:19" hidden="1" x14ac:dyDescent="0.2">
      <c r="A36">
        <v>91</v>
      </c>
      <c r="B36" t="s">
        <v>13</v>
      </c>
      <c r="C36" t="s">
        <v>92</v>
      </c>
      <c r="D36" t="s">
        <v>39</v>
      </c>
      <c r="E36" t="s">
        <v>15</v>
      </c>
      <c r="F36" t="s">
        <v>242</v>
      </c>
      <c r="G36" t="s">
        <v>200</v>
      </c>
      <c r="H36" s="1">
        <v>45897</v>
      </c>
      <c r="I36" t="s">
        <v>18</v>
      </c>
      <c r="J36" t="s">
        <v>307</v>
      </c>
      <c r="K36">
        <v>3</v>
      </c>
      <c r="R36" t="s">
        <v>202</v>
      </c>
      <c r="S36" t="s">
        <v>308</v>
      </c>
    </row>
    <row r="37" spans="1:19" hidden="1" x14ac:dyDescent="0.2">
      <c r="A37">
        <v>90</v>
      </c>
      <c r="B37" t="s">
        <v>106</v>
      </c>
      <c r="C37" t="s">
        <v>92</v>
      </c>
      <c r="D37" t="s">
        <v>311</v>
      </c>
      <c r="E37" t="s">
        <v>278</v>
      </c>
      <c r="F37" t="s">
        <v>279</v>
      </c>
      <c r="G37" t="s">
        <v>220</v>
      </c>
      <c r="H37" s="1">
        <v>45897</v>
      </c>
      <c r="I37" t="s">
        <v>312</v>
      </c>
      <c r="J37" t="s">
        <v>313</v>
      </c>
      <c r="K37">
        <v>3</v>
      </c>
      <c r="R37" t="s">
        <v>202</v>
      </c>
      <c r="S37" t="s">
        <v>314</v>
      </c>
    </row>
    <row r="38" spans="1:19" hidden="1" x14ac:dyDescent="0.2">
      <c r="A38">
        <v>98</v>
      </c>
      <c r="B38" t="s">
        <v>78</v>
      </c>
      <c r="C38" t="s">
        <v>92</v>
      </c>
      <c r="D38" t="s">
        <v>79</v>
      </c>
      <c r="E38" t="s">
        <v>80</v>
      </c>
      <c r="F38" t="s">
        <v>81</v>
      </c>
      <c r="G38" t="s">
        <v>47</v>
      </c>
      <c r="H38" s="1">
        <v>45901</v>
      </c>
      <c r="I38" t="s">
        <v>82</v>
      </c>
      <c r="J38" t="s">
        <v>83</v>
      </c>
      <c r="K38">
        <v>3</v>
      </c>
    </row>
    <row r="39" spans="1:19" hidden="1" x14ac:dyDescent="0.2">
      <c r="A39">
        <v>93</v>
      </c>
      <c r="B39" t="s">
        <v>13</v>
      </c>
      <c r="C39" t="s">
        <v>92</v>
      </c>
      <c r="D39" t="s">
        <v>50</v>
      </c>
      <c r="E39" t="s">
        <v>15</v>
      </c>
      <c r="F39" t="s">
        <v>20</v>
      </c>
      <c r="G39" t="s">
        <v>17</v>
      </c>
      <c r="H39" s="1">
        <v>45901</v>
      </c>
      <c r="I39" t="s">
        <v>51</v>
      </c>
      <c r="J39" t="s">
        <v>52</v>
      </c>
      <c r="K39">
        <v>3</v>
      </c>
    </row>
    <row r="40" spans="1:19" hidden="1" x14ac:dyDescent="0.2">
      <c r="A40">
        <v>93</v>
      </c>
      <c r="B40" t="s">
        <v>13</v>
      </c>
      <c r="C40" t="s">
        <v>92</v>
      </c>
      <c r="D40" t="s">
        <v>50</v>
      </c>
      <c r="E40" t="s">
        <v>53</v>
      </c>
      <c r="F40" t="s">
        <v>54</v>
      </c>
      <c r="G40" t="s">
        <v>55</v>
      </c>
      <c r="H40" s="1">
        <v>45901</v>
      </c>
      <c r="I40" t="s">
        <v>51</v>
      </c>
      <c r="J40" t="s">
        <v>56</v>
      </c>
      <c r="K40">
        <v>3</v>
      </c>
    </row>
    <row r="41" spans="1:19" hidden="1" x14ac:dyDescent="0.2">
      <c r="A41">
        <v>93</v>
      </c>
      <c r="B41" t="s">
        <v>13</v>
      </c>
      <c r="C41" t="s">
        <v>92</v>
      </c>
      <c r="D41" t="s">
        <v>50</v>
      </c>
      <c r="E41" t="s">
        <v>15</v>
      </c>
      <c r="F41" t="s">
        <v>57</v>
      </c>
      <c r="G41" t="s">
        <v>47</v>
      </c>
      <c r="H41" s="1">
        <v>45901</v>
      </c>
      <c r="I41" t="s">
        <v>51</v>
      </c>
      <c r="J41" t="s">
        <v>58</v>
      </c>
      <c r="K41">
        <v>3</v>
      </c>
    </row>
    <row r="42" spans="1:19" hidden="1" x14ac:dyDescent="0.2">
      <c r="A42">
        <v>93</v>
      </c>
      <c r="B42" t="s">
        <v>13</v>
      </c>
      <c r="C42" t="s">
        <v>92</v>
      </c>
      <c r="D42" t="s">
        <v>50</v>
      </c>
      <c r="E42" t="s">
        <v>15</v>
      </c>
      <c r="F42" t="s">
        <v>59</v>
      </c>
      <c r="G42" t="s">
        <v>17</v>
      </c>
      <c r="H42" s="1">
        <v>45901</v>
      </c>
      <c r="I42" t="s">
        <v>51</v>
      </c>
      <c r="J42" t="s">
        <v>60</v>
      </c>
      <c r="K42">
        <v>3</v>
      </c>
    </row>
    <row r="43" spans="1:19" hidden="1" x14ac:dyDescent="0.2">
      <c r="A43">
        <v>93</v>
      </c>
      <c r="B43" t="s">
        <v>13</v>
      </c>
      <c r="C43" t="s">
        <v>92</v>
      </c>
      <c r="D43" t="s">
        <v>50</v>
      </c>
      <c r="E43" t="s">
        <v>15</v>
      </c>
      <c r="F43" t="s">
        <v>316</v>
      </c>
      <c r="G43" t="s">
        <v>220</v>
      </c>
      <c r="H43" s="1">
        <v>45901</v>
      </c>
      <c r="I43" t="s">
        <v>51</v>
      </c>
      <c r="J43" t="s">
        <v>317</v>
      </c>
      <c r="K43">
        <v>3</v>
      </c>
      <c r="R43" t="s">
        <v>222</v>
      </c>
      <c r="S43" t="s">
        <v>318</v>
      </c>
    </row>
    <row r="44" spans="1:19" hidden="1" x14ac:dyDescent="0.2">
      <c r="A44">
        <v>93</v>
      </c>
      <c r="B44" t="s">
        <v>13</v>
      </c>
      <c r="C44" t="s">
        <v>92</v>
      </c>
      <c r="D44" t="s">
        <v>50</v>
      </c>
      <c r="E44" t="s">
        <v>15</v>
      </c>
      <c r="F44" t="s">
        <v>104</v>
      </c>
      <c r="G44" t="s">
        <v>220</v>
      </c>
      <c r="H44" s="1">
        <v>45901</v>
      </c>
      <c r="I44" t="s">
        <v>51</v>
      </c>
      <c r="J44" t="s">
        <v>321</v>
      </c>
      <c r="K44">
        <v>3</v>
      </c>
      <c r="R44" t="s">
        <v>222</v>
      </c>
      <c r="S44" t="s">
        <v>318</v>
      </c>
    </row>
    <row r="45" spans="1:19" hidden="1" x14ac:dyDescent="0.2">
      <c r="A45">
        <v>103</v>
      </c>
      <c r="B45" t="s">
        <v>110</v>
      </c>
      <c r="C45" t="s">
        <v>92</v>
      </c>
      <c r="D45" t="s">
        <v>111</v>
      </c>
      <c r="E45" t="s">
        <v>62</v>
      </c>
      <c r="F45" t="s">
        <v>85</v>
      </c>
      <c r="G45" t="s">
        <v>47</v>
      </c>
      <c r="H45" s="1">
        <v>45902</v>
      </c>
      <c r="I45" t="s">
        <v>112</v>
      </c>
      <c r="J45" t="s">
        <v>113</v>
      </c>
      <c r="K45">
        <v>2</v>
      </c>
    </row>
    <row r="46" spans="1:19" hidden="1" x14ac:dyDescent="0.2">
      <c r="A46">
        <v>99</v>
      </c>
      <c r="B46" t="s">
        <v>106</v>
      </c>
      <c r="C46" t="s">
        <v>92</v>
      </c>
      <c r="D46" t="s">
        <v>334</v>
      </c>
      <c r="E46" t="s">
        <v>80</v>
      </c>
      <c r="F46" t="s">
        <v>81</v>
      </c>
      <c r="G46" t="s">
        <v>220</v>
      </c>
      <c r="H46" s="1">
        <v>45902</v>
      </c>
      <c r="I46" t="s">
        <v>108</v>
      </c>
      <c r="J46" t="s">
        <v>335</v>
      </c>
      <c r="K46">
        <v>3</v>
      </c>
      <c r="R46" t="s">
        <v>202</v>
      </c>
      <c r="S46" t="s">
        <v>314</v>
      </c>
    </row>
    <row r="47" spans="1:19" hidden="1" x14ac:dyDescent="0.2">
      <c r="A47">
        <v>97</v>
      </c>
      <c r="B47" t="s">
        <v>13</v>
      </c>
      <c r="C47" t="s">
        <v>92</v>
      </c>
      <c r="D47" t="s">
        <v>72</v>
      </c>
      <c r="E47" t="s">
        <v>15</v>
      </c>
      <c r="F47" t="s">
        <v>20</v>
      </c>
      <c r="G47" t="s">
        <v>17</v>
      </c>
      <c r="H47" s="1">
        <v>45902</v>
      </c>
      <c r="I47" t="s">
        <v>18</v>
      </c>
      <c r="J47" t="s">
        <v>73</v>
      </c>
      <c r="K47">
        <v>3</v>
      </c>
    </row>
    <row r="48" spans="1:19" hidden="1" x14ac:dyDescent="0.2">
      <c r="A48">
        <v>97</v>
      </c>
      <c r="B48" t="s">
        <v>13</v>
      </c>
      <c r="C48" t="s">
        <v>92</v>
      </c>
      <c r="D48" t="s">
        <v>72</v>
      </c>
      <c r="E48" t="s">
        <v>15</v>
      </c>
      <c r="F48" t="s">
        <v>74</v>
      </c>
      <c r="G48" t="s">
        <v>47</v>
      </c>
      <c r="H48" s="1">
        <v>45902</v>
      </c>
      <c r="I48" t="s">
        <v>18</v>
      </c>
      <c r="J48" t="s">
        <v>75</v>
      </c>
      <c r="K48">
        <v>3</v>
      </c>
    </row>
    <row r="49" spans="1:19" hidden="1" x14ac:dyDescent="0.2">
      <c r="A49">
        <v>97</v>
      </c>
      <c r="B49" t="s">
        <v>13</v>
      </c>
      <c r="C49" t="s">
        <v>92</v>
      </c>
      <c r="D49" t="s">
        <v>72</v>
      </c>
      <c r="E49" t="s">
        <v>15</v>
      </c>
      <c r="F49" t="s">
        <v>327</v>
      </c>
      <c r="G49" t="s">
        <v>200</v>
      </c>
      <c r="H49" s="1">
        <v>45902</v>
      </c>
      <c r="I49" t="s">
        <v>18</v>
      </c>
      <c r="J49" t="s">
        <v>328</v>
      </c>
      <c r="K49">
        <v>3</v>
      </c>
      <c r="R49" t="s">
        <v>329</v>
      </c>
      <c r="S49" t="s">
        <v>330</v>
      </c>
    </row>
    <row r="50" spans="1:19" hidden="1" x14ac:dyDescent="0.2">
      <c r="A50">
        <v>96</v>
      </c>
      <c r="B50" t="s">
        <v>61</v>
      </c>
      <c r="C50" t="s">
        <v>92</v>
      </c>
      <c r="D50" t="s">
        <v>76</v>
      </c>
      <c r="E50" t="s">
        <v>62</v>
      </c>
      <c r="F50" t="s">
        <v>63</v>
      </c>
      <c r="G50" t="s">
        <v>17</v>
      </c>
      <c r="H50" s="1">
        <v>45902</v>
      </c>
      <c r="I50" t="s">
        <v>64</v>
      </c>
      <c r="J50" t="s">
        <v>77</v>
      </c>
      <c r="K50">
        <v>3</v>
      </c>
    </row>
    <row r="51" spans="1:19" hidden="1" x14ac:dyDescent="0.2">
      <c r="A51">
        <v>96</v>
      </c>
      <c r="B51" t="s">
        <v>61</v>
      </c>
      <c r="C51" t="s">
        <v>92</v>
      </c>
      <c r="D51" t="s">
        <v>76</v>
      </c>
      <c r="E51" t="s">
        <v>62</v>
      </c>
      <c r="F51" t="s">
        <v>324</v>
      </c>
      <c r="G51" t="s">
        <v>220</v>
      </c>
      <c r="H51" s="1">
        <v>45902</v>
      </c>
      <c r="I51" t="s">
        <v>64</v>
      </c>
      <c r="J51" t="s">
        <v>333</v>
      </c>
      <c r="K51">
        <v>3</v>
      </c>
      <c r="R51" t="s">
        <v>222</v>
      </c>
      <c r="S51" t="s">
        <v>252</v>
      </c>
    </row>
    <row r="52" spans="1:19" hidden="1" x14ac:dyDescent="0.2">
      <c r="A52">
        <v>96</v>
      </c>
      <c r="B52" t="s">
        <v>61</v>
      </c>
      <c r="C52" t="s">
        <v>92</v>
      </c>
      <c r="D52" t="s">
        <v>76</v>
      </c>
      <c r="E52" t="s">
        <v>62</v>
      </c>
      <c r="F52" t="s">
        <v>219</v>
      </c>
      <c r="G52" t="s">
        <v>220</v>
      </c>
      <c r="H52" s="1">
        <v>45902</v>
      </c>
      <c r="I52" t="s">
        <v>64</v>
      </c>
      <c r="J52" t="s">
        <v>333</v>
      </c>
      <c r="K52">
        <v>3</v>
      </c>
      <c r="R52" t="s">
        <v>222</v>
      </c>
      <c r="S52" t="s">
        <v>252</v>
      </c>
    </row>
    <row r="53" spans="1:19" hidden="1" x14ac:dyDescent="0.2">
      <c r="A53">
        <v>115</v>
      </c>
      <c r="B53" t="s">
        <v>65</v>
      </c>
      <c r="C53" t="s">
        <v>92</v>
      </c>
      <c r="D53" t="s">
        <v>142</v>
      </c>
      <c r="E53" t="s">
        <v>66</v>
      </c>
      <c r="F53" t="s">
        <v>67</v>
      </c>
      <c r="G53" t="s">
        <v>17</v>
      </c>
      <c r="H53" s="1">
        <v>45903</v>
      </c>
      <c r="I53" t="s">
        <v>68</v>
      </c>
      <c r="J53" t="s">
        <v>143</v>
      </c>
      <c r="K53">
        <v>3</v>
      </c>
    </row>
    <row r="54" spans="1:19" hidden="1" x14ac:dyDescent="0.2">
      <c r="A54">
        <v>115</v>
      </c>
      <c r="B54" t="s">
        <v>65</v>
      </c>
      <c r="C54" t="s">
        <v>92</v>
      </c>
      <c r="D54" t="s">
        <v>142</v>
      </c>
      <c r="E54" t="s">
        <v>66</v>
      </c>
      <c r="F54" t="s">
        <v>69</v>
      </c>
      <c r="G54" t="s">
        <v>17</v>
      </c>
      <c r="H54" s="1">
        <v>45903</v>
      </c>
      <c r="I54" t="s">
        <v>68</v>
      </c>
      <c r="J54" t="s">
        <v>144</v>
      </c>
      <c r="K54">
        <v>3</v>
      </c>
    </row>
    <row r="55" spans="1:19" hidden="1" x14ac:dyDescent="0.2">
      <c r="A55">
        <v>115</v>
      </c>
      <c r="B55" t="s">
        <v>65</v>
      </c>
      <c r="C55" t="s">
        <v>92</v>
      </c>
      <c r="D55" t="s">
        <v>142</v>
      </c>
      <c r="E55" t="s">
        <v>66</v>
      </c>
      <c r="F55" t="s">
        <v>70</v>
      </c>
      <c r="G55" t="s">
        <v>17</v>
      </c>
      <c r="H55" s="1">
        <v>45903</v>
      </c>
      <c r="I55" t="s">
        <v>68</v>
      </c>
      <c r="J55" t="s">
        <v>145</v>
      </c>
      <c r="K55">
        <v>3</v>
      </c>
    </row>
    <row r="56" spans="1:19" hidden="1" x14ac:dyDescent="0.2">
      <c r="A56">
        <v>102</v>
      </c>
      <c r="B56" t="s">
        <v>106</v>
      </c>
      <c r="C56" t="s">
        <v>92</v>
      </c>
      <c r="D56" t="s">
        <v>107</v>
      </c>
      <c r="E56" t="s">
        <v>80</v>
      </c>
      <c r="F56" t="s">
        <v>81</v>
      </c>
      <c r="G56" t="s">
        <v>47</v>
      </c>
      <c r="H56" s="1">
        <v>45903</v>
      </c>
      <c r="I56" t="s">
        <v>108</v>
      </c>
      <c r="J56" t="s">
        <v>109</v>
      </c>
      <c r="K56">
        <v>3</v>
      </c>
    </row>
    <row r="57" spans="1:19" hidden="1" x14ac:dyDescent="0.2">
      <c r="A57">
        <v>101</v>
      </c>
      <c r="B57" t="s">
        <v>13</v>
      </c>
      <c r="C57" t="s">
        <v>92</v>
      </c>
      <c r="D57" t="s">
        <v>93</v>
      </c>
      <c r="E57" t="s">
        <v>15</v>
      </c>
      <c r="F57" t="s">
        <v>94</v>
      </c>
      <c r="G57" t="s">
        <v>17</v>
      </c>
      <c r="H57" s="1">
        <v>45903</v>
      </c>
      <c r="I57" t="s">
        <v>18</v>
      </c>
      <c r="J57" t="s">
        <v>95</v>
      </c>
      <c r="K57">
        <v>3</v>
      </c>
    </row>
    <row r="58" spans="1:19" hidden="1" x14ac:dyDescent="0.2">
      <c r="A58">
        <v>101</v>
      </c>
      <c r="B58" t="s">
        <v>13</v>
      </c>
      <c r="C58" t="s">
        <v>92</v>
      </c>
      <c r="D58" t="s">
        <v>93</v>
      </c>
      <c r="E58" t="s">
        <v>96</v>
      </c>
      <c r="F58" t="s">
        <v>97</v>
      </c>
      <c r="G58" t="s">
        <v>17</v>
      </c>
      <c r="H58" s="1">
        <v>45903</v>
      </c>
      <c r="I58" t="s">
        <v>18</v>
      </c>
      <c r="J58" t="s">
        <v>98</v>
      </c>
      <c r="K58">
        <v>3</v>
      </c>
    </row>
    <row r="59" spans="1:19" hidden="1" x14ac:dyDescent="0.2">
      <c r="A59">
        <v>101</v>
      </c>
      <c r="B59" t="s">
        <v>13</v>
      </c>
      <c r="C59" t="s">
        <v>92</v>
      </c>
      <c r="D59" t="s">
        <v>93</v>
      </c>
      <c r="E59" t="s">
        <v>99</v>
      </c>
      <c r="F59" t="s">
        <v>100</v>
      </c>
      <c r="G59" t="s">
        <v>17</v>
      </c>
      <c r="H59" s="1">
        <v>45903</v>
      </c>
      <c r="I59" t="s">
        <v>18</v>
      </c>
      <c r="J59" t="s">
        <v>101</v>
      </c>
      <c r="K59">
        <v>3</v>
      </c>
    </row>
    <row r="60" spans="1:19" hidden="1" x14ac:dyDescent="0.2">
      <c r="A60">
        <v>101</v>
      </c>
      <c r="B60" t="s">
        <v>13</v>
      </c>
      <c r="C60" t="s">
        <v>92</v>
      </c>
      <c r="D60" t="s">
        <v>93</v>
      </c>
      <c r="E60" t="s">
        <v>15</v>
      </c>
      <c r="F60" t="s">
        <v>102</v>
      </c>
      <c r="G60" t="s">
        <v>17</v>
      </c>
      <c r="H60" s="1">
        <v>45903</v>
      </c>
      <c r="I60" t="s">
        <v>18</v>
      </c>
      <c r="J60" t="s">
        <v>103</v>
      </c>
      <c r="K60">
        <v>3</v>
      </c>
    </row>
    <row r="61" spans="1:19" hidden="1" x14ac:dyDescent="0.2">
      <c r="A61">
        <v>101</v>
      </c>
      <c r="B61" t="s">
        <v>13</v>
      </c>
      <c r="C61" t="s">
        <v>92</v>
      </c>
      <c r="D61" t="s">
        <v>93</v>
      </c>
      <c r="E61" t="s">
        <v>15</v>
      </c>
      <c r="F61" t="s">
        <v>104</v>
      </c>
      <c r="G61" t="s">
        <v>17</v>
      </c>
      <c r="H61" s="1">
        <v>45903</v>
      </c>
      <c r="I61" t="s">
        <v>18</v>
      </c>
      <c r="J61" t="s">
        <v>105</v>
      </c>
      <c r="K61">
        <v>3</v>
      </c>
    </row>
    <row r="62" spans="1:19" hidden="1" x14ac:dyDescent="0.2">
      <c r="A62">
        <v>101</v>
      </c>
      <c r="B62" t="s">
        <v>13</v>
      </c>
      <c r="C62" t="s">
        <v>92</v>
      </c>
      <c r="D62" t="s">
        <v>93</v>
      </c>
      <c r="E62" t="s">
        <v>337</v>
      </c>
      <c r="F62" t="s">
        <v>338</v>
      </c>
      <c r="G62" t="s">
        <v>220</v>
      </c>
      <c r="H62" s="1">
        <v>45903</v>
      </c>
      <c r="I62" t="s">
        <v>18</v>
      </c>
      <c r="J62" t="s">
        <v>339</v>
      </c>
      <c r="K62">
        <v>3</v>
      </c>
      <c r="R62" t="s">
        <v>214</v>
      </c>
      <c r="S62" t="s">
        <v>340</v>
      </c>
    </row>
    <row r="63" spans="1:19" hidden="1" x14ac:dyDescent="0.2">
      <c r="A63">
        <v>100</v>
      </c>
      <c r="B63" t="s">
        <v>43</v>
      </c>
      <c r="C63" t="s">
        <v>92</v>
      </c>
      <c r="D63" t="s">
        <v>84</v>
      </c>
      <c r="E63" t="s">
        <v>62</v>
      </c>
      <c r="F63" t="s">
        <v>85</v>
      </c>
      <c r="G63" t="s">
        <v>47</v>
      </c>
      <c r="H63" s="1">
        <v>45903</v>
      </c>
      <c r="I63" t="s">
        <v>48</v>
      </c>
      <c r="J63" t="s">
        <v>86</v>
      </c>
      <c r="K63">
        <v>3</v>
      </c>
    </row>
    <row r="64" spans="1:19" hidden="1" x14ac:dyDescent="0.2">
      <c r="A64">
        <v>100</v>
      </c>
      <c r="B64" t="s">
        <v>43</v>
      </c>
      <c r="C64" t="s">
        <v>92</v>
      </c>
      <c r="D64" t="s">
        <v>84</v>
      </c>
      <c r="E64" t="s">
        <v>62</v>
      </c>
      <c r="F64" t="s">
        <v>87</v>
      </c>
      <c r="G64" t="s">
        <v>47</v>
      </c>
      <c r="H64" s="1">
        <v>45903</v>
      </c>
      <c r="I64" t="s">
        <v>48</v>
      </c>
      <c r="J64" t="s">
        <v>88</v>
      </c>
      <c r="K64">
        <v>3</v>
      </c>
    </row>
    <row r="65" spans="1:19" hidden="1" x14ac:dyDescent="0.2">
      <c r="A65">
        <v>100</v>
      </c>
      <c r="B65" t="s">
        <v>43</v>
      </c>
      <c r="C65" t="s">
        <v>92</v>
      </c>
      <c r="D65" t="s">
        <v>84</v>
      </c>
      <c r="E65" t="s">
        <v>62</v>
      </c>
      <c r="F65" t="s">
        <v>89</v>
      </c>
      <c r="G65" t="s">
        <v>47</v>
      </c>
      <c r="H65" s="1">
        <v>45903</v>
      </c>
      <c r="I65" t="s">
        <v>48</v>
      </c>
      <c r="J65" t="s">
        <v>90</v>
      </c>
      <c r="K65">
        <v>3</v>
      </c>
    </row>
    <row r="66" spans="1:19" hidden="1" x14ac:dyDescent="0.2">
      <c r="A66">
        <v>100</v>
      </c>
      <c r="B66" t="s">
        <v>43</v>
      </c>
      <c r="C66" t="s">
        <v>92</v>
      </c>
      <c r="D66" t="s">
        <v>84</v>
      </c>
      <c r="E66" t="s">
        <v>91</v>
      </c>
      <c r="F66" t="s">
        <v>92</v>
      </c>
      <c r="G66" t="s">
        <v>47</v>
      </c>
      <c r="H66" s="1">
        <v>45903</v>
      </c>
      <c r="I66" t="s">
        <v>48</v>
      </c>
      <c r="J66" t="s">
        <v>90</v>
      </c>
      <c r="K66">
        <v>3</v>
      </c>
    </row>
    <row r="67" spans="1:19" hidden="1" x14ac:dyDescent="0.2">
      <c r="A67">
        <v>100</v>
      </c>
      <c r="B67" t="s">
        <v>43</v>
      </c>
      <c r="C67" t="s">
        <v>92</v>
      </c>
      <c r="D67" t="s">
        <v>84</v>
      </c>
      <c r="E67" t="s">
        <v>62</v>
      </c>
      <c r="F67" t="s">
        <v>63</v>
      </c>
      <c r="G67" t="s">
        <v>47</v>
      </c>
      <c r="H67" s="1">
        <v>45903</v>
      </c>
      <c r="I67" t="s">
        <v>48</v>
      </c>
      <c r="J67" t="s">
        <v>90</v>
      </c>
      <c r="K67">
        <v>3</v>
      </c>
    </row>
    <row r="68" spans="1:19" hidden="1" x14ac:dyDescent="0.2">
      <c r="A68">
        <v>114</v>
      </c>
      <c r="B68" t="s">
        <v>65</v>
      </c>
      <c r="C68" t="s">
        <v>92</v>
      </c>
      <c r="D68" t="s">
        <v>137</v>
      </c>
      <c r="E68" t="s">
        <v>66</v>
      </c>
      <c r="F68" t="s">
        <v>138</v>
      </c>
      <c r="G68" t="s">
        <v>17</v>
      </c>
      <c r="H68" s="1">
        <v>45904</v>
      </c>
      <c r="I68" t="s">
        <v>68</v>
      </c>
      <c r="J68" t="s">
        <v>139</v>
      </c>
      <c r="K68">
        <v>3</v>
      </c>
    </row>
    <row r="69" spans="1:19" hidden="1" x14ac:dyDescent="0.2">
      <c r="A69">
        <v>114</v>
      </c>
      <c r="B69" t="s">
        <v>65</v>
      </c>
      <c r="C69" t="s">
        <v>92</v>
      </c>
      <c r="D69" t="s">
        <v>137</v>
      </c>
      <c r="E69" t="s">
        <v>66</v>
      </c>
      <c r="F69" t="s">
        <v>140</v>
      </c>
      <c r="G69" t="s">
        <v>17</v>
      </c>
      <c r="H69" s="1">
        <v>45904</v>
      </c>
      <c r="I69" t="s">
        <v>68</v>
      </c>
      <c r="J69" t="s">
        <v>141</v>
      </c>
      <c r="K69">
        <v>3</v>
      </c>
    </row>
    <row r="70" spans="1:19" hidden="1" x14ac:dyDescent="0.2">
      <c r="A70">
        <v>106</v>
      </c>
      <c r="B70" t="s">
        <v>106</v>
      </c>
      <c r="C70" t="s">
        <v>92</v>
      </c>
      <c r="D70" t="s">
        <v>346</v>
      </c>
      <c r="E70" t="s">
        <v>80</v>
      </c>
      <c r="F70" t="s">
        <v>81</v>
      </c>
      <c r="G70" t="s">
        <v>220</v>
      </c>
      <c r="H70" s="1">
        <v>45904</v>
      </c>
      <c r="I70" t="s">
        <v>347</v>
      </c>
      <c r="J70" t="s">
        <v>348</v>
      </c>
      <c r="K70">
        <v>3</v>
      </c>
      <c r="R70" t="s">
        <v>202</v>
      </c>
      <c r="S70" t="s">
        <v>314</v>
      </c>
    </row>
    <row r="71" spans="1:19" hidden="1" x14ac:dyDescent="0.2">
      <c r="A71">
        <v>105</v>
      </c>
      <c r="B71" t="s">
        <v>61</v>
      </c>
      <c r="C71" t="s">
        <v>92</v>
      </c>
      <c r="D71" t="s">
        <v>114</v>
      </c>
      <c r="E71" t="s">
        <v>15</v>
      </c>
      <c r="F71" t="s">
        <v>115</v>
      </c>
      <c r="G71" t="s">
        <v>17</v>
      </c>
      <c r="H71" s="1">
        <v>45904</v>
      </c>
      <c r="I71" t="s">
        <v>116</v>
      </c>
      <c r="J71" t="s">
        <v>117</v>
      </c>
      <c r="K71">
        <v>3</v>
      </c>
    </row>
    <row r="72" spans="1:19" hidden="1" x14ac:dyDescent="0.2">
      <c r="A72">
        <v>105</v>
      </c>
      <c r="B72" t="s">
        <v>61</v>
      </c>
      <c r="C72" t="s">
        <v>92</v>
      </c>
      <c r="D72" t="s">
        <v>114</v>
      </c>
      <c r="E72" t="s">
        <v>15</v>
      </c>
      <c r="F72" t="s">
        <v>20</v>
      </c>
      <c r="G72" t="s">
        <v>17</v>
      </c>
      <c r="H72" s="1">
        <v>45904</v>
      </c>
      <c r="I72" t="s">
        <v>116</v>
      </c>
      <c r="J72" t="s">
        <v>118</v>
      </c>
      <c r="K72">
        <v>3</v>
      </c>
    </row>
    <row r="73" spans="1:19" hidden="1" x14ac:dyDescent="0.2">
      <c r="A73">
        <v>105</v>
      </c>
      <c r="B73" t="s">
        <v>61</v>
      </c>
      <c r="C73" t="s">
        <v>92</v>
      </c>
      <c r="D73" t="s">
        <v>114</v>
      </c>
      <c r="E73" t="s">
        <v>15</v>
      </c>
      <c r="F73" t="s">
        <v>115</v>
      </c>
      <c r="G73" t="s">
        <v>220</v>
      </c>
      <c r="H73" s="1">
        <v>45904</v>
      </c>
      <c r="I73" t="s">
        <v>116</v>
      </c>
      <c r="J73" t="s">
        <v>350</v>
      </c>
      <c r="K73">
        <v>3</v>
      </c>
      <c r="R73" t="s">
        <v>351</v>
      </c>
      <c r="S73" t="s">
        <v>352</v>
      </c>
    </row>
    <row r="74" spans="1:19" hidden="1" x14ac:dyDescent="0.2">
      <c r="A74">
        <v>104</v>
      </c>
      <c r="B74" t="s">
        <v>43</v>
      </c>
      <c r="C74" t="s">
        <v>92</v>
      </c>
      <c r="D74" t="s">
        <v>343</v>
      </c>
      <c r="E74" t="s">
        <v>62</v>
      </c>
      <c r="F74" t="s">
        <v>85</v>
      </c>
      <c r="G74" t="s">
        <v>220</v>
      </c>
      <c r="H74" s="1">
        <v>45904</v>
      </c>
      <c r="I74" t="s">
        <v>48</v>
      </c>
      <c r="J74" t="s">
        <v>344</v>
      </c>
      <c r="K74">
        <v>3</v>
      </c>
      <c r="R74" t="s">
        <v>222</v>
      </c>
      <c r="S74" t="s">
        <v>252</v>
      </c>
    </row>
    <row r="75" spans="1:19" hidden="1" x14ac:dyDescent="0.2">
      <c r="A75">
        <v>110</v>
      </c>
      <c r="B75" t="s">
        <v>61</v>
      </c>
      <c r="C75" t="s">
        <v>92</v>
      </c>
      <c r="D75" t="s">
        <v>119</v>
      </c>
      <c r="E75" t="s">
        <v>120</v>
      </c>
      <c r="F75" t="s">
        <v>121</v>
      </c>
      <c r="G75" t="s">
        <v>17</v>
      </c>
      <c r="H75" s="1">
        <v>45905</v>
      </c>
      <c r="I75" t="s">
        <v>116</v>
      </c>
      <c r="J75" t="s">
        <v>122</v>
      </c>
      <c r="K75">
        <v>3</v>
      </c>
    </row>
    <row r="76" spans="1:19" hidden="1" x14ac:dyDescent="0.2">
      <c r="A76">
        <v>110</v>
      </c>
      <c r="B76" t="s">
        <v>61</v>
      </c>
      <c r="C76" t="s">
        <v>92</v>
      </c>
      <c r="D76" t="s">
        <v>119</v>
      </c>
      <c r="E76" t="s">
        <v>15</v>
      </c>
      <c r="F76" t="s">
        <v>123</v>
      </c>
      <c r="G76" t="s">
        <v>17</v>
      </c>
      <c r="H76" s="1">
        <v>45905</v>
      </c>
      <c r="I76" t="s">
        <v>116</v>
      </c>
      <c r="J76" t="s">
        <v>122</v>
      </c>
      <c r="K76">
        <v>3</v>
      </c>
    </row>
    <row r="77" spans="1:19" hidden="1" x14ac:dyDescent="0.2">
      <c r="A77">
        <v>110</v>
      </c>
      <c r="B77" t="s">
        <v>61</v>
      </c>
      <c r="C77" t="s">
        <v>92</v>
      </c>
      <c r="D77" t="s">
        <v>119</v>
      </c>
      <c r="E77" t="s">
        <v>15</v>
      </c>
      <c r="F77" t="s">
        <v>124</v>
      </c>
      <c r="G77" t="s">
        <v>17</v>
      </c>
      <c r="H77" s="1">
        <v>45905</v>
      </c>
      <c r="I77" t="s">
        <v>116</v>
      </c>
      <c r="J77" t="s">
        <v>122</v>
      </c>
      <c r="K77">
        <v>3</v>
      </c>
    </row>
    <row r="78" spans="1:19" hidden="1" x14ac:dyDescent="0.2">
      <c r="A78">
        <v>108</v>
      </c>
      <c r="B78" t="s">
        <v>43</v>
      </c>
      <c r="C78" t="s">
        <v>92</v>
      </c>
      <c r="D78" t="s">
        <v>353</v>
      </c>
      <c r="E78" t="s">
        <v>62</v>
      </c>
      <c r="F78" t="s">
        <v>89</v>
      </c>
      <c r="G78" t="s">
        <v>220</v>
      </c>
      <c r="H78" s="1">
        <v>45905</v>
      </c>
      <c r="I78" t="s">
        <v>48</v>
      </c>
      <c r="J78" t="s">
        <v>354</v>
      </c>
      <c r="K78">
        <v>3</v>
      </c>
      <c r="R78" t="s">
        <v>222</v>
      </c>
      <c r="S78" t="s">
        <v>252</v>
      </c>
    </row>
    <row r="79" spans="1:19" hidden="1" x14ac:dyDescent="0.2">
      <c r="A79">
        <v>108</v>
      </c>
      <c r="B79" t="s">
        <v>43</v>
      </c>
      <c r="C79" t="s">
        <v>92</v>
      </c>
      <c r="D79" t="s">
        <v>353</v>
      </c>
      <c r="E79" t="s">
        <v>62</v>
      </c>
      <c r="F79" t="s">
        <v>87</v>
      </c>
      <c r="G79" t="s">
        <v>220</v>
      </c>
      <c r="H79" s="1">
        <v>45905</v>
      </c>
      <c r="I79" t="s">
        <v>48</v>
      </c>
      <c r="J79" t="s">
        <v>356</v>
      </c>
      <c r="K79">
        <v>3</v>
      </c>
      <c r="R79" t="s">
        <v>222</v>
      </c>
      <c r="S79" t="s">
        <v>252</v>
      </c>
    </row>
    <row r="80" spans="1:19" hidden="1" x14ac:dyDescent="0.2">
      <c r="A80">
        <v>112</v>
      </c>
      <c r="B80" t="s">
        <v>43</v>
      </c>
      <c r="C80" t="s">
        <v>92</v>
      </c>
      <c r="D80" t="s">
        <v>132</v>
      </c>
      <c r="E80" t="s">
        <v>62</v>
      </c>
      <c r="F80" t="s">
        <v>133</v>
      </c>
      <c r="G80" t="s">
        <v>47</v>
      </c>
      <c r="H80" s="1">
        <v>45908</v>
      </c>
      <c r="I80" t="s">
        <v>48</v>
      </c>
      <c r="J80" t="s">
        <v>134</v>
      </c>
      <c r="K80">
        <v>3</v>
      </c>
    </row>
    <row r="81" spans="1:19" hidden="1" x14ac:dyDescent="0.2">
      <c r="A81">
        <v>112</v>
      </c>
      <c r="B81" t="s">
        <v>43</v>
      </c>
      <c r="C81" t="s">
        <v>92</v>
      </c>
      <c r="D81" t="s">
        <v>132</v>
      </c>
      <c r="E81" t="s">
        <v>62</v>
      </c>
      <c r="F81" t="s">
        <v>135</v>
      </c>
      <c r="G81" t="s">
        <v>47</v>
      </c>
      <c r="H81" s="1">
        <v>45908</v>
      </c>
      <c r="I81" t="s">
        <v>48</v>
      </c>
      <c r="J81" t="s">
        <v>136</v>
      </c>
      <c r="K81">
        <v>3</v>
      </c>
    </row>
    <row r="82" spans="1:19" hidden="1" x14ac:dyDescent="0.2">
      <c r="A82">
        <v>111</v>
      </c>
      <c r="B82" t="s">
        <v>125</v>
      </c>
      <c r="C82" t="s">
        <v>92</v>
      </c>
      <c r="D82" t="s">
        <v>50</v>
      </c>
      <c r="E82" t="s">
        <v>15</v>
      </c>
      <c r="F82" t="s">
        <v>126</v>
      </c>
      <c r="G82" t="s">
        <v>17</v>
      </c>
      <c r="H82" s="1">
        <v>45908</v>
      </c>
      <c r="I82" t="s">
        <v>127</v>
      </c>
      <c r="J82" t="s">
        <v>128</v>
      </c>
      <c r="K82">
        <v>3</v>
      </c>
    </row>
    <row r="83" spans="1:19" hidden="1" x14ac:dyDescent="0.2">
      <c r="A83">
        <v>111</v>
      </c>
      <c r="B83" t="s">
        <v>125</v>
      </c>
      <c r="C83" t="s">
        <v>92</v>
      </c>
      <c r="D83" t="s">
        <v>50</v>
      </c>
      <c r="E83" t="s">
        <v>15</v>
      </c>
      <c r="F83" t="s">
        <v>129</v>
      </c>
      <c r="G83" t="s">
        <v>17</v>
      </c>
      <c r="H83" s="1">
        <v>45908</v>
      </c>
      <c r="I83" t="s">
        <v>127</v>
      </c>
      <c r="J83" t="s">
        <v>130</v>
      </c>
      <c r="K83">
        <v>3</v>
      </c>
    </row>
    <row r="84" spans="1:19" hidden="1" x14ac:dyDescent="0.2">
      <c r="A84">
        <v>111</v>
      </c>
      <c r="B84" t="s">
        <v>125</v>
      </c>
      <c r="C84" t="s">
        <v>92</v>
      </c>
      <c r="D84" t="s">
        <v>50</v>
      </c>
      <c r="E84" t="s">
        <v>15</v>
      </c>
      <c r="F84" t="s">
        <v>74</v>
      </c>
      <c r="G84" t="s">
        <v>17</v>
      </c>
      <c r="H84" s="1">
        <v>45908</v>
      </c>
      <c r="I84" t="s">
        <v>127</v>
      </c>
      <c r="J84" t="s">
        <v>131</v>
      </c>
      <c r="K84">
        <v>3</v>
      </c>
    </row>
    <row r="85" spans="1:19" hidden="1" x14ac:dyDescent="0.2">
      <c r="A85">
        <v>118</v>
      </c>
      <c r="B85" t="s">
        <v>125</v>
      </c>
      <c r="C85" t="s">
        <v>92</v>
      </c>
      <c r="D85" t="s">
        <v>50</v>
      </c>
      <c r="E85" t="s">
        <v>15</v>
      </c>
      <c r="F85" t="s">
        <v>20</v>
      </c>
      <c r="G85" t="s">
        <v>17</v>
      </c>
      <c r="H85" s="1">
        <v>45909</v>
      </c>
      <c r="I85" t="s">
        <v>127</v>
      </c>
      <c r="J85" t="s">
        <v>151</v>
      </c>
      <c r="K85">
        <v>3</v>
      </c>
    </row>
    <row r="86" spans="1:19" hidden="1" x14ac:dyDescent="0.2">
      <c r="A86">
        <v>118</v>
      </c>
      <c r="B86" t="s">
        <v>125</v>
      </c>
      <c r="C86" t="s">
        <v>92</v>
      </c>
      <c r="D86" t="s">
        <v>50</v>
      </c>
      <c r="E86" t="s">
        <v>15</v>
      </c>
      <c r="F86" t="s">
        <v>129</v>
      </c>
      <c r="G86" t="s">
        <v>17</v>
      </c>
      <c r="H86" s="1">
        <v>45909</v>
      </c>
      <c r="I86" t="s">
        <v>127</v>
      </c>
      <c r="J86" t="s">
        <v>152</v>
      </c>
      <c r="K86">
        <v>3</v>
      </c>
    </row>
    <row r="87" spans="1:19" hidden="1" x14ac:dyDescent="0.2">
      <c r="A87">
        <v>118</v>
      </c>
      <c r="B87" t="s">
        <v>125</v>
      </c>
      <c r="C87" t="s">
        <v>92</v>
      </c>
      <c r="D87" t="s">
        <v>50</v>
      </c>
      <c r="E87" t="s">
        <v>15</v>
      </c>
      <c r="F87" t="s">
        <v>74</v>
      </c>
      <c r="G87" t="s">
        <v>220</v>
      </c>
      <c r="H87" s="1">
        <v>45909</v>
      </c>
      <c r="I87" t="s">
        <v>127</v>
      </c>
      <c r="J87" t="s">
        <v>364</v>
      </c>
      <c r="K87">
        <v>3</v>
      </c>
      <c r="R87" t="s">
        <v>365</v>
      </c>
      <c r="S87" t="s">
        <v>366</v>
      </c>
    </row>
    <row r="88" spans="1:19" ht="304" hidden="1" x14ac:dyDescent="0.2">
      <c r="A88">
        <v>117</v>
      </c>
      <c r="B88" t="s">
        <v>13</v>
      </c>
      <c r="C88" t="s">
        <v>92</v>
      </c>
      <c r="D88" t="s">
        <v>146</v>
      </c>
      <c r="E88" t="s">
        <v>147</v>
      </c>
      <c r="F88" t="s">
        <v>148</v>
      </c>
      <c r="G88" t="s">
        <v>17</v>
      </c>
      <c r="H88" s="1">
        <v>45909</v>
      </c>
      <c r="I88" t="s">
        <v>149</v>
      </c>
      <c r="J88" s="3" t="s">
        <v>150</v>
      </c>
      <c r="K88">
        <v>3</v>
      </c>
    </row>
    <row r="89" spans="1:19" hidden="1" x14ac:dyDescent="0.2">
      <c r="A89">
        <v>117</v>
      </c>
      <c r="B89" t="s">
        <v>13</v>
      </c>
      <c r="C89" t="s">
        <v>92</v>
      </c>
      <c r="D89" t="s">
        <v>146</v>
      </c>
      <c r="E89" t="s">
        <v>62</v>
      </c>
      <c r="F89" t="s">
        <v>63</v>
      </c>
      <c r="G89" t="s">
        <v>220</v>
      </c>
      <c r="H89" s="1">
        <v>45909</v>
      </c>
      <c r="I89" t="s">
        <v>149</v>
      </c>
      <c r="J89" t="s">
        <v>361</v>
      </c>
      <c r="K89">
        <v>3</v>
      </c>
      <c r="R89" t="s">
        <v>202</v>
      </c>
      <c r="S89" t="s">
        <v>362</v>
      </c>
    </row>
    <row r="90" spans="1:19" hidden="1" x14ac:dyDescent="0.2">
      <c r="A90">
        <v>117</v>
      </c>
      <c r="B90" t="s">
        <v>13</v>
      </c>
      <c r="C90" t="s">
        <v>92</v>
      </c>
      <c r="D90" t="s">
        <v>146</v>
      </c>
      <c r="E90" t="s">
        <v>62</v>
      </c>
      <c r="F90" t="s">
        <v>63</v>
      </c>
      <c r="G90" t="s">
        <v>220</v>
      </c>
      <c r="H90" s="1">
        <v>45909</v>
      </c>
      <c r="I90" t="s">
        <v>149</v>
      </c>
      <c r="J90" t="s">
        <v>361</v>
      </c>
      <c r="K90">
        <v>3</v>
      </c>
      <c r="R90" t="s">
        <v>202</v>
      </c>
      <c r="S90" t="s">
        <v>363</v>
      </c>
    </row>
    <row r="91" spans="1:19" hidden="1" x14ac:dyDescent="0.2">
      <c r="A91">
        <v>116</v>
      </c>
      <c r="B91" t="s">
        <v>43</v>
      </c>
      <c r="C91" t="s">
        <v>92</v>
      </c>
      <c r="D91" t="s">
        <v>358</v>
      </c>
      <c r="E91" t="s">
        <v>62</v>
      </c>
      <c r="F91" t="s">
        <v>87</v>
      </c>
      <c r="G91" t="s">
        <v>220</v>
      </c>
      <c r="H91" s="1">
        <v>45909</v>
      </c>
      <c r="I91" t="s">
        <v>48</v>
      </c>
      <c r="J91" t="s">
        <v>359</v>
      </c>
      <c r="K91">
        <v>3</v>
      </c>
      <c r="R91" t="s">
        <v>222</v>
      </c>
      <c r="S91" t="s">
        <v>252</v>
      </c>
    </row>
    <row r="92" spans="1:19" hidden="1" x14ac:dyDescent="0.2">
      <c r="A92">
        <v>116</v>
      </c>
      <c r="B92" t="s">
        <v>43</v>
      </c>
      <c r="C92" t="s">
        <v>92</v>
      </c>
      <c r="D92" t="s">
        <v>358</v>
      </c>
      <c r="E92" t="s">
        <v>91</v>
      </c>
      <c r="F92" t="s">
        <v>92</v>
      </c>
      <c r="G92" t="s">
        <v>220</v>
      </c>
      <c r="H92" s="1">
        <v>45909</v>
      </c>
      <c r="I92" t="s">
        <v>48</v>
      </c>
      <c r="J92" t="s">
        <v>360</v>
      </c>
      <c r="K92">
        <v>3</v>
      </c>
      <c r="R92" t="s">
        <v>222</v>
      </c>
      <c r="S92" t="s">
        <v>252</v>
      </c>
    </row>
    <row r="93" spans="1:19" hidden="1" x14ac:dyDescent="0.2">
      <c r="A93">
        <v>121</v>
      </c>
      <c r="B93" t="s">
        <v>13</v>
      </c>
      <c r="C93" t="s">
        <v>92</v>
      </c>
      <c r="D93" t="s">
        <v>383</v>
      </c>
      <c r="E93" t="s">
        <v>91</v>
      </c>
      <c r="F93" t="s">
        <v>92</v>
      </c>
      <c r="G93" t="s">
        <v>220</v>
      </c>
      <c r="H93" s="1">
        <v>45910</v>
      </c>
      <c r="I93" t="s">
        <v>149</v>
      </c>
      <c r="J93" t="s">
        <v>384</v>
      </c>
      <c r="K93">
        <v>3</v>
      </c>
      <c r="R93" t="s">
        <v>202</v>
      </c>
      <c r="S93" t="s">
        <v>385</v>
      </c>
    </row>
    <row r="94" spans="1:19" hidden="1" x14ac:dyDescent="0.2">
      <c r="A94">
        <v>121</v>
      </c>
      <c r="B94" t="s">
        <v>13</v>
      </c>
      <c r="C94" t="s">
        <v>92</v>
      </c>
      <c r="D94" t="s">
        <v>383</v>
      </c>
      <c r="E94" t="s">
        <v>91</v>
      </c>
      <c r="F94" t="s">
        <v>92</v>
      </c>
      <c r="G94" t="s">
        <v>220</v>
      </c>
      <c r="H94" s="1">
        <v>45910</v>
      </c>
      <c r="I94" t="s">
        <v>149</v>
      </c>
      <c r="J94" t="s">
        <v>387</v>
      </c>
      <c r="K94">
        <v>3</v>
      </c>
      <c r="R94" t="s">
        <v>202</v>
      </c>
      <c r="S94" t="s">
        <v>385</v>
      </c>
    </row>
    <row r="95" spans="1:19" hidden="1" x14ac:dyDescent="0.2">
      <c r="A95">
        <v>120</v>
      </c>
      <c r="B95" t="s">
        <v>61</v>
      </c>
      <c r="C95" t="s">
        <v>92</v>
      </c>
      <c r="D95" t="s">
        <v>389</v>
      </c>
      <c r="E95" t="s">
        <v>62</v>
      </c>
      <c r="F95" t="s">
        <v>390</v>
      </c>
      <c r="G95" t="s">
        <v>220</v>
      </c>
      <c r="H95" s="1">
        <v>45910</v>
      </c>
      <c r="I95" t="s">
        <v>64</v>
      </c>
      <c r="J95" t="s">
        <v>391</v>
      </c>
      <c r="K95">
        <v>3</v>
      </c>
      <c r="R95" t="s">
        <v>202</v>
      </c>
      <c r="S95" t="s">
        <v>326</v>
      </c>
    </row>
    <row r="96" spans="1:19" hidden="1" x14ac:dyDescent="0.2">
      <c r="A96">
        <v>119</v>
      </c>
      <c r="B96" t="s">
        <v>28</v>
      </c>
      <c r="C96" t="s">
        <v>92</v>
      </c>
      <c r="D96" t="s">
        <v>158</v>
      </c>
      <c r="E96" t="s">
        <v>15</v>
      </c>
      <c r="F96" t="s">
        <v>153</v>
      </c>
      <c r="G96" t="s">
        <v>17</v>
      </c>
      <c r="H96" s="1">
        <v>45910</v>
      </c>
      <c r="I96" t="s">
        <v>159</v>
      </c>
      <c r="J96" t="s">
        <v>160</v>
      </c>
      <c r="K96">
        <v>3</v>
      </c>
    </row>
    <row r="97" spans="1:21" hidden="1" x14ac:dyDescent="0.2">
      <c r="A97">
        <v>119</v>
      </c>
      <c r="B97" t="s">
        <v>28</v>
      </c>
      <c r="C97" t="s">
        <v>92</v>
      </c>
      <c r="D97" t="s">
        <v>158</v>
      </c>
      <c r="E97" t="s">
        <v>15</v>
      </c>
      <c r="F97" t="s">
        <v>129</v>
      </c>
      <c r="G97" t="s">
        <v>220</v>
      </c>
      <c r="H97" s="1">
        <v>45910</v>
      </c>
      <c r="I97" t="s">
        <v>159</v>
      </c>
      <c r="J97" t="s">
        <v>369</v>
      </c>
      <c r="K97">
        <v>3</v>
      </c>
      <c r="R97" t="s">
        <v>351</v>
      </c>
      <c r="S97" t="s">
        <v>370</v>
      </c>
    </row>
    <row r="98" spans="1:21" hidden="1" x14ac:dyDescent="0.2">
      <c r="A98">
        <v>119</v>
      </c>
      <c r="B98" t="s">
        <v>28</v>
      </c>
      <c r="C98" t="s">
        <v>92</v>
      </c>
      <c r="D98" t="s">
        <v>158</v>
      </c>
      <c r="E98" t="s">
        <v>15</v>
      </c>
      <c r="F98" t="s">
        <v>153</v>
      </c>
      <c r="G98" t="s">
        <v>210</v>
      </c>
      <c r="H98" s="1">
        <v>45910</v>
      </c>
      <c r="I98" t="s">
        <v>159</v>
      </c>
      <c r="J98" t="s">
        <v>160</v>
      </c>
      <c r="K98">
        <v>3</v>
      </c>
      <c r="R98" t="s">
        <v>214</v>
      </c>
      <c r="S98" t="s">
        <v>372</v>
      </c>
    </row>
    <row r="99" spans="1:21" hidden="1" x14ac:dyDescent="0.2">
      <c r="A99">
        <v>119</v>
      </c>
      <c r="B99" t="s">
        <v>28</v>
      </c>
      <c r="C99" t="s">
        <v>92</v>
      </c>
      <c r="D99" t="s">
        <v>158</v>
      </c>
      <c r="E99" t="s">
        <v>15</v>
      </c>
      <c r="F99" t="s">
        <v>153</v>
      </c>
      <c r="G99" t="s">
        <v>210</v>
      </c>
      <c r="H99" s="1">
        <v>45910</v>
      </c>
      <c r="I99" t="s">
        <v>159</v>
      </c>
      <c r="J99" t="s">
        <v>160</v>
      </c>
      <c r="K99">
        <v>3</v>
      </c>
      <c r="R99" t="s">
        <v>329</v>
      </c>
      <c r="S99" t="s">
        <v>374</v>
      </c>
    </row>
    <row r="100" spans="1:21" hidden="1" x14ac:dyDescent="0.2">
      <c r="A100">
        <v>119</v>
      </c>
      <c r="B100" t="s">
        <v>28</v>
      </c>
      <c r="C100" t="s">
        <v>92</v>
      </c>
      <c r="D100" t="s">
        <v>158</v>
      </c>
      <c r="E100" t="s">
        <v>15</v>
      </c>
      <c r="F100" t="s">
        <v>102</v>
      </c>
      <c r="G100" t="s">
        <v>210</v>
      </c>
      <c r="H100" s="1">
        <v>45910</v>
      </c>
      <c r="I100" t="s">
        <v>159</v>
      </c>
      <c r="J100" t="s">
        <v>376</v>
      </c>
      <c r="K100">
        <v>3</v>
      </c>
      <c r="R100" t="s">
        <v>214</v>
      </c>
      <c r="S100" t="s">
        <v>377</v>
      </c>
      <c r="T100" t="s">
        <v>284</v>
      </c>
      <c r="U100" t="s">
        <v>1206</v>
      </c>
    </row>
    <row r="101" spans="1:21" hidden="1" x14ac:dyDescent="0.2">
      <c r="A101">
        <v>119</v>
      </c>
      <c r="B101" t="s">
        <v>28</v>
      </c>
      <c r="C101" t="s">
        <v>92</v>
      </c>
      <c r="D101" t="s">
        <v>158</v>
      </c>
      <c r="E101" t="s">
        <v>15</v>
      </c>
      <c r="F101" t="s">
        <v>379</v>
      </c>
      <c r="G101" t="s">
        <v>210</v>
      </c>
      <c r="H101" s="1">
        <v>45910</v>
      </c>
      <c r="I101" t="s">
        <v>159</v>
      </c>
      <c r="J101" t="s">
        <v>380</v>
      </c>
      <c r="K101">
        <v>3</v>
      </c>
      <c r="R101" t="s">
        <v>214</v>
      </c>
      <c r="S101" t="s">
        <v>381</v>
      </c>
      <c r="T101" t="s">
        <v>284</v>
      </c>
      <c r="U101" t="s">
        <v>1209</v>
      </c>
    </row>
    <row r="102" spans="1:21" hidden="1" x14ac:dyDescent="0.2">
      <c r="A102">
        <v>124</v>
      </c>
      <c r="B102" t="s">
        <v>13</v>
      </c>
      <c r="C102" t="s">
        <v>92</v>
      </c>
      <c r="D102" t="s">
        <v>392</v>
      </c>
      <c r="E102" t="s">
        <v>62</v>
      </c>
      <c r="F102" t="s">
        <v>393</v>
      </c>
      <c r="G102" t="s">
        <v>220</v>
      </c>
      <c r="H102" s="1">
        <v>45911</v>
      </c>
      <c r="I102" t="s">
        <v>149</v>
      </c>
      <c r="J102" t="s">
        <v>394</v>
      </c>
      <c r="K102">
        <v>3</v>
      </c>
      <c r="R102" t="s">
        <v>202</v>
      </c>
      <c r="S102" t="s">
        <v>395</v>
      </c>
      <c r="T102" t="s">
        <v>284</v>
      </c>
      <c r="U102" t="s">
        <v>1212</v>
      </c>
    </row>
    <row r="103" spans="1:21" hidden="1" x14ac:dyDescent="0.2">
      <c r="A103">
        <v>124</v>
      </c>
      <c r="B103" t="s">
        <v>13</v>
      </c>
      <c r="C103" t="s">
        <v>92</v>
      </c>
      <c r="D103" t="s">
        <v>392</v>
      </c>
      <c r="E103" t="s">
        <v>62</v>
      </c>
      <c r="F103" t="s">
        <v>390</v>
      </c>
      <c r="G103" t="s">
        <v>220</v>
      </c>
      <c r="H103" s="1">
        <v>45911</v>
      </c>
      <c r="I103" t="s">
        <v>149</v>
      </c>
      <c r="J103" t="s">
        <v>396</v>
      </c>
      <c r="K103">
        <v>3</v>
      </c>
      <c r="R103" t="s">
        <v>202</v>
      </c>
      <c r="S103" t="s">
        <v>397</v>
      </c>
      <c r="T103" t="s">
        <v>284</v>
      </c>
      <c r="U103" t="s">
        <v>1214</v>
      </c>
    </row>
    <row r="104" spans="1:21" hidden="1" x14ac:dyDescent="0.2">
      <c r="A104">
        <v>123</v>
      </c>
      <c r="B104" t="s">
        <v>125</v>
      </c>
      <c r="C104" t="s">
        <v>92</v>
      </c>
      <c r="D104" t="s">
        <v>50</v>
      </c>
      <c r="E104" t="s">
        <v>15</v>
      </c>
      <c r="F104" t="s">
        <v>153</v>
      </c>
      <c r="G104" t="s">
        <v>17</v>
      </c>
      <c r="H104" s="1">
        <v>45911</v>
      </c>
      <c r="I104" t="s">
        <v>127</v>
      </c>
      <c r="J104" t="s">
        <v>154</v>
      </c>
      <c r="K104">
        <v>3</v>
      </c>
      <c r="T104" t="s">
        <v>939</v>
      </c>
      <c r="U104" t="s">
        <v>940</v>
      </c>
    </row>
    <row r="105" spans="1:21" hidden="1" x14ac:dyDescent="0.2">
      <c r="A105">
        <v>123</v>
      </c>
      <c r="B105" t="s">
        <v>125</v>
      </c>
      <c r="C105" t="s">
        <v>92</v>
      </c>
      <c r="D105" t="s">
        <v>50</v>
      </c>
      <c r="E105" t="s">
        <v>15</v>
      </c>
      <c r="F105" t="s">
        <v>74</v>
      </c>
      <c r="G105" t="s">
        <v>17</v>
      </c>
      <c r="H105" s="1">
        <v>45911</v>
      </c>
      <c r="I105" t="s">
        <v>127</v>
      </c>
      <c r="J105" t="s">
        <v>155</v>
      </c>
      <c r="K105">
        <v>3</v>
      </c>
      <c r="T105" t="s">
        <v>1043</v>
      </c>
      <c r="U105" t="s">
        <v>1044</v>
      </c>
    </row>
    <row r="106" spans="1:21" hidden="1" x14ac:dyDescent="0.2">
      <c r="A106">
        <v>123</v>
      </c>
      <c r="B106" t="s">
        <v>125</v>
      </c>
      <c r="C106" t="s">
        <v>92</v>
      </c>
      <c r="D106" t="s">
        <v>50</v>
      </c>
      <c r="E106" t="s">
        <v>15</v>
      </c>
      <c r="F106" t="s">
        <v>156</v>
      </c>
      <c r="G106" t="s">
        <v>17</v>
      </c>
      <c r="H106" s="1">
        <v>45911</v>
      </c>
      <c r="I106" t="s">
        <v>127</v>
      </c>
      <c r="J106" t="s">
        <v>157</v>
      </c>
      <c r="K106">
        <v>3</v>
      </c>
      <c r="T106" t="s">
        <v>314</v>
      </c>
      <c r="U106" t="s">
        <v>1051</v>
      </c>
    </row>
    <row r="107" spans="1:21" hidden="1" x14ac:dyDescent="0.2">
      <c r="A107">
        <v>122</v>
      </c>
      <c r="B107" t="s">
        <v>43</v>
      </c>
      <c r="C107" t="s">
        <v>92</v>
      </c>
      <c r="D107" t="s">
        <v>398</v>
      </c>
      <c r="E107" t="s">
        <v>91</v>
      </c>
      <c r="F107" t="s">
        <v>92</v>
      </c>
      <c r="G107" t="s">
        <v>220</v>
      </c>
      <c r="H107" s="1">
        <v>45911</v>
      </c>
      <c r="I107" t="s">
        <v>64</v>
      </c>
      <c r="J107" t="s">
        <v>399</v>
      </c>
      <c r="K107">
        <v>3</v>
      </c>
      <c r="R107" t="s">
        <v>222</v>
      </c>
      <c r="S107" t="s">
        <v>252</v>
      </c>
      <c r="T107" t="s">
        <v>298</v>
      </c>
      <c r="U107" t="s">
        <v>1052</v>
      </c>
    </row>
    <row r="108" spans="1:21" hidden="1" x14ac:dyDescent="0.2">
      <c r="A108">
        <v>122</v>
      </c>
      <c r="B108" t="s">
        <v>43</v>
      </c>
      <c r="C108" t="s">
        <v>92</v>
      </c>
      <c r="D108" t="s">
        <v>398</v>
      </c>
      <c r="E108" t="s">
        <v>62</v>
      </c>
      <c r="F108" t="s">
        <v>63</v>
      </c>
      <c r="G108" t="s">
        <v>220</v>
      </c>
      <c r="H108" s="1">
        <v>45911</v>
      </c>
      <c r="I108" t="s">
        <v>64</v>
      </c>
      <c r="J108" t="s">
        <v>401</v>
      </c>
      <c r="K108">
        <v>3</v>
      </c>
      <c r="R108" t="s">
        <v>222</v>
      </c>
      <c r="S108" t="s">
        <v>252</v>
      </c>
      <c r="T108" t="s">
        <v>1054</v>
      </c>
      <c r="U108" t="s">
        <v>760</v>
      </c>
    </row>
    <row r="109" spans="1:21" hidden="1" x14ac:dyDescent="0.2">
      <c r="A109">
        <v>122</v>
      </c>
      <c r="B109" t="s">
        <v>43</v>
      </c>
      <c r="C109" t="s">
        <v>92</v>
      </c>
      <c r="D109" t="s">
        <v>398</v>
      </c>
      <c r="E109" t="s">
        <v>62</v>
      </c>
      <c r="F109" t="s">
        <v>390</v>
      </c>
      <c r="G109" t="s">
        <v>220</v>
      </c>
      <c r="H109" s="1">
        <v>45911</v>
      </c>
      <c r="I109" t="s">
        <v>64</v>
      </c>
      <c r="J109" t="s">
        <v>404</v>
      </c>
      <c r="K109">
        <v>3</v>
      </c>
      <c r="R109" t="s">
        <v>222</v>
      </c>
      <c r="S109" t="s">
        <v>405</v>
      </c>
      <c r="T109" t="s">
        <v>371</v>
      </c>
      <c r="U109" t="s">
        <v>314</v>
      </c>
    </row>
    <row r="110" spans="1:21" hidden="1" x14ac:dyDescent="0.2">
      <c r="A110">
        <v>122</v>
      </c>
      <c r="B110" t="s">
        <v>43</v>
      </c>
      <c r="C110" t="s">
        <v>92</v>
      </c>
      <c r="D110" t="s">
        <v>398</v>
      </c>
      <c r="E110" t="s">
        <v>91</v>
      </c>
      <c r="F110" t="s">
        <v>92</v>
      </c>
      <c r="G110" t="s">
        <v>220</v>
      </c>
      <c r="H110" s="1">
        <v>45911</v>
      </c>
      <c r="I110" t="s">
        <v>64</v>
      </c>
      <c r="J110" t="s">
        <v>406</v>
      </c>
      <c r="K110">
        <v>3</v>
      </c>
      <c r="R110" t="s">
        <v>222</v>
      </c>
      <c r="S110" t="s">
        <v>326</v>
      </c>
      <c r="T110" t="s">
        <v>314</v>
      </c>
      <c r="U110" t="s">
        <v>314</v>
      </c>
    </row>
    <row r="111" spans="1:21" hidden="1" x14ac:dyDescent="0.2">
      <c r="A111">
        <v>122</v>
      </c>
      <c r="B111" t="s">
        <v>43</v>
      </c>
      <c r="C111" t="s">
        <v>92</v>
      </c>
      <c r="D111" t="s">
        <v>398</v>
      </c>
      <c r="E111" t="s">
        <v>91</v>
      </c>
      <c r="F111" t="s">
        <v>92</v>
      </c>
      <c r="G111" t="s">
        <v>220</v>
      </c>
      <c r="H111" s="1">
        <v>45911</v>
      </c>
      <c r="I111" t="s">
        <v>64</v>
      </c>
      <c r="J111" t="s">
        <v>407</v>
      </c>
      <c r="K111">
        <v>3</v>
      </c>
      <c r="R111" t="s">
        <v>222</v>
      </c>
      <c r="S111" t="s">
        <v>326</v>
      </c>
      <c r="T111" t="s">
        <v>314</v>
      </c>
      <c r="U111" t="s">
        <v>1115</v>
      </c>
    </row>
    <row r="112" spans="1:21" hidden="1" x14ac:dyDescent="0.2">
      <c r="A112">
        <v>126</v>
      </c>
      <c r="B112" t="s">
        <v>125</v>
      </c>
      <c r="C112" t="s">
        <v>92</v>
      </c>
      <c r="D112" t="s">
        <v>50</v>
      </c>
      <c r="E112" t="s">
        <v>15</v>
      </c>
      <c r="F112" t="s">
        <v>156</v>
      </c>
      <c r="G112" t="s">
        <v>17</v>
      </c>
      <c r="H112" s="1">
        <v>45912</v>
      </c>
      <c r="I112" t="s">
        <v>127</v>
      </c>
      <c r="J112" t="s">
        <v>161</v>
      </c>
      <c r="K112">
        <v>3</v>
      </c>
      <c r="T112" t="s">
        <v>314</v>
      </c>
      <c r="U112" t="s">
        <v>1125</v>
      </c>
    </row>
    <row r="113" spans="1:21" hidden="1" x14ac:dyDescent="0.2">
      <c r="A113">
        <v>126</v>
      </c>
      <c r="B113" t="s">
        <v>125</v>
      </c>
      <c r="C113" t="s">
        <v>92</v>
      </c>
      <c r="D113" t="s">
        <v>50</v>
      </c>
      <c r="E113" t="s">
        <v>15</v>
      </c>
      <c r="F113" t="s">
        <v>115</v>
      </c>
      <c r="G113" t="s">
        <v>17</v>
      </c>
      <c r="H113" s="1">
        <v>45912</v>
      </c>
      <c r="I113" t="s">
        <v>127</v>
      </c>
      <c r="J113" t="s">
        <v>162</v>
      </c>
      <c r="K113">
        <v>3</v>
      </c>
      <c r="T113" t="s">
        <v>1134</v>
      </c>
      <c r="U113" t="s">
        <v>1244</v>
      </c>
    </row>
    <row r="114" spans="1:21" hidden="1" x14ac:dyDescent="0.2">
      <c r="A114">
        <v>126</v>
      </c>
      <c r="B114" t="s">
        <v>125</v>
      </c>
      <c r="C114" t="s">
        <v>92</v>
      </c>
      <c r="D114" t="s">
        <v>50</v>
      </c>
      <c r="E114" t="s">
        <v>15</v>
      </c>
      <c r="F114" t="s">
        <v>115</v>
      </c>
      <c r="G114" t="s">
        <v>17</v>
      </c>
      <c r="H114" s="1">
        <v>45912</v>
      </c>
      <c r="I114" t="s">
        <v>127</v>
      </c>
      <c r="J114" t="s">
        <v>163</v>
      </c>
      <c r="K114">
        <v>3</v>
      </c>
      <c r="T114" t="s">
        <v>1146</v>
      </c>
      <c r="U114" t="s">
        <v>1147</v>
      </c>
    </row>
    <row r="115" spans="1:21" hidden="1" x14ac:dyDescent="0.2">
      <c r="A115">
        <v>125</v>
      </c>
      <c r="B115" t="s">
        <v>43</v>
      </c>
      <c r="C115" t="s">
        <v>92</v>
      </c>
      <c r="D115" t="s">
        <v>408</v>
      </c>
      <c r="E115" t="s">
        <v>91</v>
      </c>
      <c r="F115" t="s">
        <v>92</v>
      </c>
      <c r="G115" t="s">
        <v>220</v>
      </c>
      <c r="H115" s="1">
        <v>45912</v>
      </c>
      <c r="I115" t="s">
        <v>409</v>
      </c>
      <c r="J115" t="s">
        <v>410</v>
      </c>
      <c r="K115">
        <v>3</v>
      </c>
      <c r="R115" t="s">
        <v>222</v>
      </c>
      <c r="S115" t="s">
        <v>252</v>
      </c>
      <c r="T115" t="s">
        <v>1150</v>
      </c>
      <c r="U115" t="s">
        <v>1151</v>
      </c>
    </row>
    <row r="116" spans="1:21" hidden="1" x14ac:dyDescent="0.2">
      <c r="A116">
        <v>125</v>
      </c>
      <c r="B116" t="s">
        <v>43</v>
      </c>
      <c r="C116" t="s">
        <v>92</v>
      </c>
      <c r="D116" t="s">
        <v>408</v>
      </c>
      <c r="E116" t="s">
        <v>91</v>
      </c>
      <c r="F116" t="s">
        <v>92</v>
      </c>
      <c r="G116" t="s">
        <v>220</v>
      </c>
      <c r="H116" s="1">
        <v>45912</v>
      </c>
      <c r="I116" t="s">
        <v>409</v>
      </c>
      <c r="J116" t="s">
        <v>413</v>
      </c>
      <c r="K116">
        <v>3</v>
      </c>
      <c r="R116" t="s">
        <v>222</v>
      </c>
      <c r="S116" t="s">
        <v>252</v>
      </c>
      <c r="T116" t="s">
        <v>1154</v>
      </c>
      <c r="U116" t="s">
        <v>1155</v>
      </c>
    </row>
    <row r="117" spans="1:21" hidden="1" x14ac:dyDescent="0.2">
      <c r="A117">
        <v>129</v>
      </c>
      <c r="B117" t="s">
        <v>13</v>
      </c>
      <c r="C117" t="s">
        <v>92</v>
      </c>
      <c r="D117" t="s">
        <v>164</v>
      </c>
      <c r="E117" t="s">
        <v>15</v>
      </c>
      <c r="F117" t="s">
        <v>165</v>
      </c>
      <c r="G117" t="s">
        <v>47</v>
      </c>
      <c r="H117" s="1">
        <v>45915</v>
      </c>
      <c r="I117" t="s">
        <v>18</v>
      </c>
      <c r="J117" t="s">
        <v>166</v>
      </c>
      <c r="K117">
        <v>3</v>
      </c>
      <c r="T117" t="s">
        <v>204</v>
      </c>
      <c r="U117" t="s">
        <v>1162</v>
      </c>
    </row>
    <row r="118" spans="1:21" hidden="1" x14ac:dyDescent="0.2">
      <c r="A118">
        <v>129</v>
      </c>
      <c r="B118" t="s">
        <v>13</v>
      </c>
      <c r="C118" t="s">
        <v>92</v>
      </c>
      <c r="D118" t="s">
        <v>164</v>
      </c>
      <c r="E118" t="s">
        <v>15</v>
      </c>
      <c r="F118" t="s">
        <v>129</v>
      </c>
      <c r="G118" t="s">
        <v>47</v>
      </c>
      <c r="H118" s="1">
        <v>45915</v>
      </c>
      <c r="I118" t="s">
        <v>18</v>
      </c>
      <c r="J118" t="s">
        <v>166</v>
      </c>
      <c r="K118">
        <v>3</v>
      </c>
      <c r="T118" t="s">
        <v>1164</v>
      </c>
      <c r="U118" t="s">
        <v>1165</v>
      </c>
    </row>
    <row r="119" spans="1:21" hidden="1" x14ac:dyDescent="0.2">
      <c r="A119">
        <v>129</v>
      </c>
      <c r="B119" t="s">
        <v>13</v>
      </c>
      <c r="C119" t="s">
        <v>92</v>
      </c>
      <c r="D119" t="s">
        <v>164</v>
      </c>
      <c r="E119" t="s">
        <v>15</v>
      </c>
      <c r="F119" t="s">
        <v>167</v>
      </c>
      <c r="G119" t="s">
        <v>47</v>
      </c>
      <c r="H119" s="1">
        <v>45915</v>
      </c>
      <c r="I119" t="s">
        <v>18</v>
      </c>
      <c r="J119" t="s">
        <v>166</v>
      </c>
      <c r="K119">
        <v>3</v>
      </c>
      <c r="T119" t="s">
        <v>1164</v>
      </c>
      <c r="U119" t="s">
        <v>265</v>
      </c>
    </row>
    <row r="120" spans="1:21" hidden="1" x14ac:dyDescent="0.2">
      <c r="A120">
        <v>129</v>
      </c>
      <c r="B120" t="s">
        <v>13</v>
      </c>
      <c r="C120" t="s">
        <v>92</v>
      </c>
      <c r="D120" t="s">
        <v>164</v>
      </c>
      <c r="E120" t="s">
        <v>15</v>
      </c>
      <c r="F120" t="s">
        <v>168</v>
      </c>
      <c r="G120" t="s">
        <v>47</v>
      </c>
      <c r="H120" s="1">
        <v>45915</v>
      </c>
      <c r="I120" t="s">
        <v>18</v>
      </c>
      <c r="J120" t="s">
        <v>166</v>
      </c>
      <c r="K120">
        <v>3</v>
      </c>
      <c r="T120" t="s">
        <v>1164</v>
      </c>
      <c r="U120" t="s">
        <v>1169</v>
      </c>
    </row>
    <row r="121" spans="1:21" hidden="1" x14ac:dyDescent="0.2">
      <c r="A121">
        <v>129</v>
      </c>
      <c r="B121" t="s">
        <v>13</v>
      </c>
      <c r="C121" t="s">
        <v>92</v>
      </c>
      <c r="D121" t="s">
        <v>164</v>
      </c>
      <c r="E121" t="s">
        <v>15</v>
      </c>
      <c r="F121" t="s">
        <v>169</v>
      </c>
      <c r="G121" t="s">
        <v>47</v>
      </c>
      <c r="H121" s="1">
        <v>45915</v>
      </c>
      <c r="I121" t="s">
        <v>18</v>
      </c>
      <c r="J121" t="s">
        <v>166</v>
      </c>
      <c r="K121">
        <v>3</v>
      </c>
      <c r="T121" t="s">
        <v>1175</v>
      </c>
      <c r="U121" t="s">
        <v>1176</v>
      </c>
    </row>
    <row r="122" spans="1:21" hidden="1" x14ac:dyDescent="0.2">
      <c r="A122">
        <v>129</v>
      </c>
      <c r="B122" t="s">
        <v>13</v>
      </c>
      <c r="C122" t="s">
        <v>92</v>
      </c>
      <c r="D122" t="s">
        <v>164</v>
      </c>
      <c r="E122" t="s">
        <v>15</v>
      </c>
      <c r="F122" t="s">
        <v>170</v>
      </c>
      <c r="G122" t="s">
        <v>47</v>
      </c>
      <c r="H122" s="1">
        <v>45915</v>
      </c>
      <c r="I122" t="s">
        <v>18</v>
      </c>
      <c r="J122" t="s">
        <v>171</v>
      </c>
      <c r="K122">
        <v>3</v>
      </c>
      <c r="T122" t="s">
        <v>1164</v>
      </c>
      <c r="U122" t="s">
        <v>1179</v>
      </c>
    </row>
    <row r="123" spans="1:21" hidden="1" x14ac:dyDescent="0.2">
      <c r="A123">
        <v>133</v>
      </c>
      <c r="B123" t="s">
        <v>61</v>
      </c>
      <c r="C123" t="s">
        <v>92</v>
      </c>
      <c r="D123" t="s">
        <v>416</v>
      </c>
      <c r="E123" t="s">
        <v>62</v>
      </c>
      <c r="F123" t="s">
        <v>417</v>
      </c>
      <c r="G123" t="s">
        <v>220</v>
      </c>
      <c r="H123" s="1">
        <v>45916</v>
      </c>
      <c r="I123" t="s">
        <v>64</v>
      </c>
      <c r="J123" t="s">
        <v>418</v>
      </c>
      <c r="K123">
        <v>3</v>
      </c>
      <c r="R123" t="s">
        <v>222</v>
      </c>
      <c r="S123" t="s">
        <v>252</v>
      </c>
      <c r="T123" t="s">
        <v>1164</v>
      </c>
    </row>
    <row r="124" spans="1:21" hidden="1" x14ac:dyDescent="0.2">
      <c r="A124">
        <v>132</v>
      </c>
      <c r="B124" t="s">
        <v>183</v>
      </c>
      <c r="C124" t="s">
        <v>92</v>
      </c>
      <c r="D124" t="s">
        <v>184</v>
      </c>
      <c r="E124" t="s">
        <v>185</v>
      </c>
      <c r="F124" t="s">
        <v>186</v>
      </c>
      <c r="G124" t="s">
        <v>17</v>
      </c>
      <c r="H124" s="1">
        <v>45916</v>
      </c>
      <c r="I124" t="s">
        <v>187</v>
      </c>
      <c r="J124" t="s">
        <v>188</v>
      </c>
      <c r="K124">
        <v>3</v>
      </c>
      <c r="T124" t="s">
        <v>1196</v>
      </c>
      <c r="U124" t="s">
        <v>1197</v>
      </c>
    </row>
    <row r="125" spans="1:21" hidden="1" x14ac:dyDescent="0.2">
      <c r="A125">
        <v>130</v>
      </c>
      <c r="B125" t="s">
        <v>22</v>
      </c>
      <c r="C125" t="s">
        <v>92</v>
      </c>
      <c r="D125" t="s">
        <v>172</v>
      </c>
      <c r="E125" t="s">
        <v>173</v>
      </c>
      <c r="F125" t="s">
        <v>174</v>
      </c>
      <c r="G125" t="s">
        <v>17</v>
      </c>
      <c r="H125" s="1">
        <v>45916</v>
      </c>
      <c r="I125" t="s">
        <v>173</v>
      </c>
      <c r="J125" t="s">
        <v>175</v>
      </c>
      <c r="K125">
        <v>3</v>
      </c>
      <c r="T125" t="s">
        <v>1199</v>
      </c>
      <c r="U125" t="s">
        <v>1200</v>
      </c>
    </row>
    <row r="126" spans="1:21" hidden="1" x14ac:dyDescent="0.2">
      <c r="A126">
        <v>130</v>
      </c>
      <c r="B126" t="s">
        <v>22</v>
      </c>
      <c r="C126" t="s">
        <v>92</v>
      </c>
      <c r="D126" t="s">
        <v>172</v>
      </c>
      <c r="E126" t="s">
        <v>173</v>
      </c>
      <c r="F126" t="s">
        <v>176</v>
      </c>
      <c r="G126" t="s">
        <v>17</v>
      </c>
      <c r="H126" s="1">
        <v>45916</v>
      </c>
      <c r="I126" t="s">
        <v>173</v>
      </c>
      <c r="J126" t="s">
        <v>177</v>
      </c>
      <c r="K126">
        <v>3</v>
      </c>
      <c r="T126" t="s">
        <v>1201</v>
      </c>
      <c r="U126" t="s">
        <v>1202</v>
      </c>
    </row>
    <row r="127" spans="1:21" hidden="1" x14ac:dyDescent="0.2">
      <c r="A127">
        <v>136</v>
      </c>
      <c r="B127" t="s">
        <v>43</v>
      </c>
      <c r="C127" t="s">
        <v>92</v>
      </c>
      <c r="D127" t="s">
        <v>419</v>
      </c>
      <c r="E127" t="s">
        <v>62</v>
      </c>
      <c r="F127" t="s">
        <v>417</v>
      </c>
      <c r="G127" t="s">
        <v>220</v>
      </c>
      <c r="H127" s="1">
        <v>45917</v>
      </c>
      <c r="I127" t="s">
        <v>48</v>
      </c>
      <c r="J127" t="s">
        <v>420</v>
      </c>
      <c r="K127">
        <v>3</v>
      </c>
      <c r="R127" t="s">
        <v>222</v>
      </c>
      <c r="S127" t="s">
        <v>252</v>
      </c>
      <c r="T127" t="s">
        <v>1245</v>
      </c>
      <c r="U127" t="s">
        <v>1229</v>
      </c>
    </row>
    <row r="128" spans="1:21" hidden="1" x14ac:dyDescent="0.2">
      <c r="A128">
        <v>138</v>
      </c>
      <c r="B128" t="s">
        <v>125</v>
      </c>
      <c r="C128" t="s">
        <v>92</v>
      </c>
      <c r="D128" t="s">
        <v>189</v>
      </c>
      <c r="E128" t="s">
        <v>173</v>
      </c>
      <c r="F128" t="s">
        <v>174</v>
      </c>
      <c r="G128" t="s">
        <v>47</v>
      </c>
      <c r="H128" s="1">
        <v>45918</v>
      </c>
      <c r="I128" t="s">
        <v>190</v>
      </c>
      <c r="J128" t="s">
        <v>191</v>
      </c>
      <c r="K128">
        <v>3</v>
      </c>
      <c r="T128" t="s">
        <v>1230</v>
      </c>
      <c r="U128" t="s">
        <v>1231</v>
      </c>
    </row>
    <row r="129" spans="1:21" hidden="1" x14ac:dyDescent="0.2">
      <c r="A129">
        <v>139</v>
      </c>
      <c r="B129" t="s">
        <v>106</v>
      </c>
      <c r="C129" t="s">
        <v>92</v>
      </c>
      <c r="D129" t="s">
        <v>423</v>
      </c>
      <c r="E129" t="s">
        <v>80</v>
      </c>
      <c r="F129" t="s">
        <v>424</v>
      </c>
      <c r="G129" t="s">
        <v>220</v>
      </c>
      <c r="H129" s="1">
        <v>45922</v>
      </c>
      <c r="I129" t="s">
        <v>82</v>
      </c>
      <c r="J129" t="s">
        <v>425</v>
      </c>
      <c r="K129">
        <v>3</v>
      </c>
      <c r="R129" t="s">
        <v>202</v>
      </c>
      <c r="S129" t="s">
        <v>314</v>
      </c>
      <c r="T129" t="s">
        <v>1233</v>
      </c>
      <c r="U129" t="s">
        <v>1234</v>
      </c>
    </row>
    <row r="130" spans="1:21" hidden="1" x14ac:dyDescent="0.2">
      <c r="A130">
        <v>144</v>
      </c>
      <c r="B130" t="s">
        <v>106</v>
      </c>
      <c r="C130" t="s">
        <v>92</v>
      </c>
      <c r="D130" t="s">
        <v>427</v>
      </c>
      <c r="E130" t="s">
        <v>80</v>
      </c>
      <c r="F130" t="s">
        <v>424</v>
      </c>
      <c r="G130" t="s">
        <v>220</v>
      </c>
      <c r="H130" s="1">
        <v>45923</v>
      </c>
      <c r="I130" t="s">
        <v>82</v>
      </c>
      <c r="J130" t="s">
        <v>428</v>
      </c>
      <c r="K130">
        <v>3</v>
      </c>
      <c r="R130" t="s">
        <v>202</v>
      </c>
      <c r="S130" t="s">
        <v>202</v>
      </c>
      <c r="T130" t="s">
        <v>284</v>
      </c>
      <c r="U130" t="s">
        <v>1236</v>
      </c>
    </row>
    <row r="131" spans="1:21" hidden="1" x14ac:dyDescent="0.2">
      <c r="A131">
        <v>143</v>
      </c>
      <c r="B131" t="s">
        <v>22</v>
      </c>
      <c r="C131" t="s">
        <v>92</v>
      </c>
      <c r="D131" t="s">
        <v>178</v>
      </c>
      <c r="E131" t="s">
        <v>179</v>
      </c>
      <c r="F131" t="s">
        <v>180</v>
      </c>
      <c r="G131" t="s">
        <v>17</v>
      </c>
      <c r="H131" s="1">
        <v>45923</v>
      </c>
      <c r="I131" t="s">
        <v>181</v>
      </c>
      <c r="J131" t="s">
        <v>182</v>
      </c>
      <c r="K131">
        <v>3</v>
      </c>
      <c r="T131" t="s">
        <v>1146</v>
      </c>
      <c r="U131" t="s">
        <v>1218</v>
      </c>
    </row>
    <row r="132" spans="1:21" hidden="1" x14ac:dyDescent="0.2">
      <c r="A132">
        <v>150</v>
      </c>
      <c r="B132" t="s">
        <v>106</v>
      </c>
      <c r="C132" t="s">
        <v>92</v>
      </c>
      <c r="D132" t="s">
        <v>430</v>
      </c>
      <c r="E132" t="s">
        <v>80</v>
      </c>
      <c r="F132" t="s">
        <v>424</v>
      </c>
      <c r="G132" t="s">
        <v>220</v>
      </c>
      <c r="H132" s="1">
        <v>45924</v>
      </c>
      <c r="I132" t="s">
        <v>82</v>
      </c>
      <c r="J132" t="s">
        <v>431</v>
      </c>
      <c r="K132">
        <v>3</v>
      </c>
      <c r="R132" t="s">
        <v>202</v>
      </c>
      <c r="S132" t="s">
        <v>314</v>
      </c>
      <c r="T132" t="s">
        <v>1164</v>
      </c>
      <c r="U132" t="s">
        <v>1221</v>
      </c>
    </row>
    <row r="133" spans="1:21" hidden="1" x14ac:dyDescent="0.2">
      <c r="A133">
        <v>148</v>
      </c>
      <c r="B133" t="s">
        <v>125</v>
      </c>
      <c r="C133" t="s">
        <v>92</v>
      </c>
      <c r="E133" t="s">
        <v>15</v>
      </c>
      <c r="F133" t="s">
        <v>20</v>
      </c>
      <c r="G133" t="s">
        <v>17</v>
      </c>
      <c r="H133" s="1">
        <v>45924</v>
      </c>
      <c r="I133" t="s">
        <v>192</v>
      </c>
      <c r="J133" t="s">
        <v>193</v>
      </c>
      <c r="K133">
        <v>3</v>
      </c>
      <c r="T133" t="s">
        <v>1164</v>
      </c>
      <c r="U133" t="s">
        <v>1164</v>
      </c>
    </row>
    <row r="134" spans="1:21" hidden="1" x14ac:dyDescent="0.2">
      <c r="A134">
        <v>148</v>
      </c>
      <c r="B134" t="s">
        <v>125</v>
      </c>
      <c r="C134" t="s">
        <v>92</v>
      </c>
      <c r="E134" t="s">
        <v>15</v>
      </c>
      <c r="F134" t="s">
        <v>102</v>
      </c>
      <c r="G134" t="s">
        <v>17</v>
      </c>
      <c r="H134" s="1">
        <v>45924</v>
      </c>
      <c r="I134" t="s">
        <v>192</v>
      </c>
      <c r="J134" t="s">
        <v>194</v>
      </c>
      <c r="K134">
        <v>3</v>
      </c>
      <c r="T134" t="s">
        <v>314</v>
      </c>
      <c r="U134" t="s">
        <v>1246</v>
      </c>
    </row>
    <row r="135" spans="1:21" hidden="1" x14ac:dyDescent="0.2">
      <c r="A135">
        <v>148</v>
      </c>
      <c r="B135" t="s">
        <v>125</v>
      </c>
      <c r="C135" t="s">
        <v>92</v>
      </c>
      <c r="E135" t="s">
        <v>195</v>
      </c>
      <c r="F135" t="s">
        <v>196</v>
      </c>
      <c r="G135" t="s">
        <v>17</v>
      </c>
      <c r="H135" s="1">
        <v>45924</v>
      </c>
      <c r="I135" t="s">
        <v>192</v>
      </c>
      <c r="J135" t="s">
        <v>197</v>
      </c>
      <c r="K135">
        <v>3</v>
      </c>
      <c r="T135" t="s">
        <v>1247</v>
      </c>
      <c r="U135" t="s">
        <v>1248</v>
      </c>
    </row>
    <row r="136" spans="1:21" hidden="1" x14ac:dyDescent="0.2">
      <c r="A136">
        <v>148</v>
      </c>
      <c r="B136" t="s">
        <v>125</v>
      </c>
      <c r="C136" t="s">
        <v>92</v>
      </c>
      <c r="E136" t="s">
        <v>15</v>
      </c>
      <c r="F136" t="s">
        <v>123</v>
      </c>
      <c r="G136" t="s">
        <v>17</v>
      </c>
      <c r="H136" s="1">
        <v>45924</v>
      </c>
      <c r="I136" t="s">
        <v>192</v>
      </c>
      <c r="J136" t="s">
        <v>198</v>
      </c>
      <c r="K136">
        <v>3</v>
      </c>
      <c r="T136" t="s">
        <v>1249</v>
      </c>
      <c r="U136" t="s">
        <v>1250</v>
      </c>
    </row>
    <row r="137" spans="1:21" hidden="1" x14ac:dyDescent="0.2">
      <c r="A137">
        <v>148</v>
      </c>
      <c r="B137" t="s">
        <v>125</v>
      </c>
      <c r="C137" t="s">
        <v>92</v>
      </c>
      <c r="E137" t="s">
        <v>15</v>
      </c>
      <c r="F137" t="s">
        <v>126</v>
      </c>
      <c r="G137" t="s">
        <v>17</v>
      </c>
      <c r="H137" s="1">
        <v>45924</v>
      </c>
      <c r="I137" t="s">
        <v>192</v>
      </c>
      <c r="J137" t="s">
        <v>198</v>
      </c>
      <c r="K137">
        <v>3</v>
      </c>
      <c r="T137" t="s">
        <v>1251</v>
      </c>
      <c r="U137" t="s">
        <v>1250</v>
      </c>
    </row>
    <row r="138" spans="1:21" hidden="1" x14ac:dyDescent="0.2">
      <c r="A138">
        <v>148</v>
      </c>
      <c r="B138" t="s">
        <v>125</v>
      </c>
      <c r="C138" t="s">
        <v>92</v>
      </c>
      <c r="E138" t="s">
        <v>15</v>
      </c>
      <c r="F138" t="s">
        <v>124</v>
      </c>
      <c r="G138" t="s">
        <v>17</v>
      </c>
      <c r="H138" s="1">
        <v>45924</v>
      </c>
      <c r="I138" t="s">
        <v>192</v>
      </c>
      <c r="J138" t="s">
        <v>198</v>
      </c>
      <c r="K138">
        <v>3</v>
      </c>
      <c r="T138" t="s">
        <v>1252</v>
      </c>
      <c r="U138" t="s">
        <v>760</v>
      </c>
    </row>
    <row r="139" spans="1:21" hidden="1" x14ac:dyDescent="0.2">
      <c r="A139">
        <v>154</v>
      </c>
      <c r="B139" t="s">
        <v>43</v>
      </c>
      <c r="C139" t="s">
        <v>92</v>
      </c>
      <c r="D139" t="s">
        <v>437</v>
      </c>
      <c r="E139" t="s">
        <v>62</v>
      </c>
      <c r="F139" t="s">
        <v>438</v>
      </c>
      <c r="G139" t="s">
        <v>220</v>
      </c>
      <c r="H139" s="1">
        <v>45925</v>
      </c>
      <c r="I139" t="s">
        <v>48</v>
      </c>
      <c r="J139" t="s">
        <v>439</v>
      </c>
      <c r="K139">
        <v>3</v>
      </c>
      <c r="R139" t="s">
        <v>222</v>
      </c>
      <c r="S139" t="s">
        <v>252</v>
      </c>
      <c r="T139" t="s">
        <v>1253</v>
      </c>
      <c r="U139" t="s">
        <v>760</v>
      </c>
    </row>
    <row r="140" spans="1:21" hidden="1" x14ac:dyDescent="0.2">
      <c r="A140">
        <v>153</v>
      </c>
      <c r="B140" t="s">
        <v>125</v>
      </c>
      <c r="C140" t="s">
        <v>92</v>
      </c>
      <c r="D140" t="s">
        <v>50</v>
      </c>
      <c r="E140" t="s">
        <v>15</v>
      </c>
      <c r="F140" t="s">
        <v>124</v>
      </c>
      <c r="G140" t="s">
        <v>17</v>
      </c>
      <c r="H140" s="1">
        <v>45925</v>
      </c>
      <c r="I140" t="s">
        <v>433</v>
      </c>
      <c r="J140" t="s">
        <v>434</v>
      </c>
      <c r="K140">
        <v>3</v>
      </c>
      <c r="T140" t="s">
        <v>1254</v>
      </c>
      <c r="U140" t="s">
        <v>760</v>
      </c>
    </row>
    <row r="141" spans="1:21" hidden="1" x14ac:dyDescent="0.2">
      <c r="A141">
        <v>153</v>
      </c>
      <c r="B141" t="s">
        <v>125</v>
      </c>
      <c r="C141" t="s">
        <v>92</v>
      </c>
      <c r="D141" t="s">
        <v>50</v>
      </c>
      <c r="E141" t="s">
        <v>15</v>
      </c>
      <c r="F141" t="s">
        <v>57</v>
      </c>
      <c r="G141" t="s">
        <v>17</v>
      </c>
      <c r="H141" s="1">
        <v>45925</v>
      </c>
      <c r="I141" t="s">
        <v>433</v>
      </c>
      <c r="J141" t="s">
        <v>435</v>
      </c>
      <c r="K141">
        <v>3</v>
      </c>
      <c r="T141" t="s">
        <v>1255</v>
      </c>
      <c r="U141" t="s">
        <v>760</v>
      </c>
    </row>
    <row r="142" spans="1:21" hidden="1" x14ac:dyDescent="0.2">
      <c r="A142">
        <v>153</v>
      </c>
      <c r="B142" t="s">
        <v>125</v>
      </c>
      <c r="C142" t="s">
        <v>92</v>
      </c>
      <c r="D142" t="s">
        <v>50</v>
      </c>
      <c r="E142" t="s">
        <v>15</v>
      </c>
      <c r="F142" t="s">
        <v>59</v>
      </c>
      <c r="G142" t="s">
        <v>17</v>
      </c>
      <c r="H142" s="1">
        <v>45925</v>
      </c>
      <c r="I142" t="s">
        <v>433</v>
      </c>
      <c r="J142" t="s">
        <v>436</v>
      </c>
      <c r="K142">
        <v>3</v>
      </c>
      <c r="T142" t="s">
        <v>1256</v>
      </c>
      <c r="U142" t="s">
        <v>1257</v>
      </c>
    </row>
    <row r="143" spans="1:21" hidden="1" x14ac:dyDescent="0.2">
      <c r="A143">
        <v>161</v>
      </c>
      <c r="B143" t="s">
        <v>43</v>
      </c>
      <c r="C143" t="s">
        <v>92</v>
      </c>
      <c r="D143" t="s">
        <v>460</v>
      </c>
      <c r="E143" t="s">
        <v>461</v>
      </c>
      <c r="F143" t="s">
        <v>462</v>
      </c>
      <c r="G143" t="s">
        <v>36</v>
      </c>
      <c r="H143" s="1">
        <v>45926</v>
      </c>
      <c r="I143" t="s">
        <v>48</v>
      </c>
      <c r="J143" t="s">
        <v>463</v>
      </c>
      <c r="K143">
        <v>5</v>
      </c>
      <c r="T143" t="s">
        <v>1258</v>
      </c>
      <c r="U143" t="s">
        <v>1259</v>
      </c>
    </row>
    <row r="144" spans="1:21" hidden="1" x14ac:dyDescent="0.2">
      <c r="A144">
        <v>155</v>
      </c>
      <c r="B144" t="s">
        <v>125</v>
      </c>
      <c r="C144" t="s">
        <v>92</v>
      </c>
      <c r="D144" t="s">
        <v>50</v>
      </c>
      <c r="E144" t="s">
        <v>1260</v>
      </c>
      <c r="F144" t="s">
        <v>441</v>
      </c>
      <c r="G144" t="s">
        <v>17</v>
      </c>
      <c r="H144" s="1">
        <v>45926</v>
      </c>
      <c r="I144" t="s">
        <v>192</v>
      </c>
      <c r="J144" t="s">
        <v>442</v>
      </c>
      <c r="K144">
        <v>5</v>
      </c>
      <c r="T144" t="s">
        <v>284</v>
      </c>
      <c r="U144" t="s">
        <v>1261</v>
      </c>
    </row>
    <row r="145" spans="1:19" hidden="1" x14ac:dyDescent="0.2">
      <c r="A145">
        <v>155</v>
      </c>
      <c r="B145" t="s">
        <v>125</v>
      </c>
      <c r="C145" t="s">
        <v>92</v>
      </c>
      <c r="D145" t="s">
        <v>50</v>
      </c>
      <c r="E145" t="s">
        <v>15</v>
      </c>
      <c r="F145" t="s">
        <v>156</v>
      </c>
      <c r="G145" t="s">
        <v>17</v>
      </c>
      <c r="H145" s="1">
        <v>45926</v>
      </c>
      <c r="I145" t="s">
        <v>192</v>
      </c>
      <c r="J145" t="s">
        <v>443</v>
      </c>
      <c r="K145">
        <v>5</v>
      </c>
    </row>
    <row r="146" spans="1:19" hidden="1" x14ac:dyDescent="0.2">
      <c r="A146">
        <v>162</v>
      </c>
      <c r="B146" t="s">
        <v>43</v>
      </c>
      <c r="C146" t="s">
        <v>92</v>
      </c>
      <c r="D146" t="s">
        <v>464</v>
      </c>
      <c r="E146" t="s">
        <v>461</v>
      </c>
      <c r="F146" t="s">
        <v>465</v>
      </c>
      <c r="G146" t="s">
        <v>36</v>
      </c>
      <c r="H146" s="1">
        <v>45929</v>
      </c>
      <c r="I146" t="s">
        <v>48</v>
      </c>
      <c r="J146" t="s">
        <v>466</v>
      </c>
      <c r="K146">
        <v>5</v>
      </c>
    </row>
    <row r="147" spans="1:19" hidden="1" x14ac:dyDescent="0.2">
      <c r="A147">
        <v>156</v>
      </c>
      <c r="B147" t="s">
        <v>22</v>
      </c>
      <c r="C147" t="s">
        <v>92</v>
      </c>
      <c r="D147" t="s">
        <v>444</v>
      </c>
      <c r="E147" t="s">
        <v>445</v>
      </c>
      <c r="F147" t="s">
        <v>446</v>
      </c>
      <c r="G147" t="s">
        <v>36</v>
      </c>
      <c r="H147" s="1">
        <v>45929</v>
      </c>
      <c r="I147" t="s">
        <v>447</v>
      </c>
      <c r="J147" t="s">
        <v>448</v>
      </c>
      <c r="K147">
        <v>5</v>
      </c>
    </row>
    <row r="148" spans="1:19" hidden="1" x14ac:dyDescent="0.2">
      <c r="A148">
        <v>169</v>
      </c>
      <c r="B148" t="s">
        <v>43</v>
      </c>
      <c r="C148" t="s">
        <v>92</v>
      </c>
      <c r="D148" t="s">
        <v>487</v>
      </c>
      <c r="E148" t="s">
        <v>488</v>
      </c>
      <c r="F148" t="s">
        <v>489</v>
      </c>
      <c r="G148" t="s">
        <v>36</v>
      </c>
      <c r="H148" s="1">
        <v>45930</v>
      </c>
      <c r="I148" t="s">
        <v>48</v>
      </c>
      <c r="J148" t="s">
        <v>482</v>
      </c>
      <c r="K148">
        <v>5</v>
      </c>
    </row>
    <row r="149" spans="1:19" hidden="1" x14ac:dyDescent="0.2">
      <c r="A149">
        <v>167</v>
      </c>
      <c r="B149" t="s">
        <v>43</v>
      </c>
      <c r="C149" t="s">
        <v>92</v>
      </c>
      <c r="D149" t="s">
        <v>479</v>
      </c>
      <c r="E149" t="s">
        <v>480</v>
      </c>
      <c r="F149" t="s">
        <v>481</v>
      </c>
      <c r="G149" t="s">
        <v>36</v>
      </c>
      <c r="H149" s="1">
        <v>45930</v>
      </c>
      <c r="I149" t="s">
        <v>48</v>
      </c>
      <c r="J149" t="s">
        <v>482</v>
      </c>
      <c r="K149">
        <v>5</v>
      </c>
    </row>
    <row r="150" spans="1:19" hidden="1" x14ac:dyDescent="0.2">
      <c r="A150">
        <v>164</v>
      </c>
      <c r="B150" t="s">
        <v>13</v>
      </c>
      <c r="C150" t="s">
        <v>92</v>
      </c>
      <c r="D150" t="s">
        <v>470</v>
      </c>
      <c r="E150" t="s">
        <v>66</v>
      </c>
      <c r="F150" t="s">
        <v>70</v>
      </c>
      <c r="G150" t="s">
        <v>17</v>
      </c>
      <c r="H150" s="1">
        <v>45930</v>
      </c>
      <c r="I150" t="s">
        <v>471</v>
      </c>
      <c r="J150" t="s">
        <v>472</v>
      </c>
      <c r="K150">
        <v>5</v>
      </c>
    </row>
    <row r="151" spans="1:19" hidden="1" x14ac:dyDescent="0.2">
      <c r="A151">
        <v>164</v>
      </c>
      <c r="B151" t="s">
        <v>13</v>
      </c>
      <c r="C151" t="s">
        <v>92</v>
      </c>
      <c r="D151" t="s">
        <v>470</v>
      </c>
      <c r="E151" t="s">
        <v>66</v>
      </c>
      <c r="F151" t="s">
        <v>69</v>
      </c>
      <c r="G151" t="s">
        <v>200</v>
      </c>
      <c r="H151" s="1">
        <v>45930</v>
      </c>
      <c r="I151" t="s">
        <v>471</v>
      </c>
      <c r="J151" t="s">
        <v>473</v>
      </c>
      <c r="K151">
        <v>5</v>
      </c>
      <c r="R151" t="s">
        <v>474</v>
      </c>
      <c r="S151" t="s">
        <v>475</v>
      </c>
    </row>
    <row r="152" spans="1:19" hidden="1" x14ac:dyDescent="0.2">
      <c r="A152">
        <v>163</v>
      </c>
      <c r="B152" t="s">
        <v>125</v>
      </c>
      <c r="C152" t="s">
        <v>92</v>
      </c>
      <c r="D152" t="s">
        <v>50</v>
      </c>
      <c r="E152" t="s">
        <v>15</v>
      </c>
      <c r="F152" t="s">
        <v>20</v>
      </c>
      <c r="G152" t="s">
        <v>17</v>
      </c>
      <c r="H152" s="1">
        <v>45930</v>
      </c>
      <c r="I152" t="s">
        <v>192</v>
      </c>
      <c r="J152" t="s">
        <v>467</v>
      </c>
      <c r="K152">
        <v>5</v>
      </c>
    </row>
    <row r="153" spans="1:19" hidden="1" x14ac:dyDescent="0.2">
      <c r="A153">
        <v>163</v>
      </c>
      <c r="B153" t="s">
        <v>125</v>
      </c>
      <c r="C153" t="s">
        <v>92</v>
      </c>
      <c r="D153" t="s">
        <v>50</v>
      </c>
      <c r="E153" t="s">
        <v>15</v>
      </c>
      <c r="F153" t="s">
        <v>156</v>
      </c>
      <c r="G153" t="s">
        <v>17</v>
      </c>
      <c r="H153" s="1">
        <v>45930</v>
      </c>
      <c r="I153" t="s">
        <v>192</v>
      </c>
      <c r="J153" t="s">
        <v>468</v>
      </c>
      <c r="K153">
        <v>5</v>
      </c>
    </row>
    <row r="154" spans="1:19" hidden="1" x14ac:dyDescent="0.2">
      <c r="A154">
        <v>163</v>
      </c>
      <c r="B154" t="s">
        <v>125</v>
      </c>
      <c r="C154" t="s">
        <v>92</v>
      </c>
      <c r="D154" t="s">
        <v>50</v>
      </c>
      <c r="E154" t="s">
        <v>15</v>
      </c>
      <c r="F154" t="s">
        <v>124</v>
      </c>
      <c r="G154" t="s">
        <v>17</v>
      </c>
      <c r="H154" s="1">
        <v>45930</v>
      </c>
      <c r="I154" t="s">
        <v>192</v>
      </c>
      <c r="J154" t="s">
        <v>469</v>
      </c>
      <c r="K154">
        <v>5</v>
      </c>
    </row>
    <row r="155" spans="1:19" hidden="1" x14ac:dyDescent="0.2">
      <c r="A155">
        <v>160</v>
      </c>
      <c r="B155" t="s">
        <v>22</v>
      </c>
      <c r="C155" t="s">
        <v>92</v>
      </c>
      <c r="D155" t="s">
        <v>455</v>
      </c>
      <c r="E155" t="s">
        <v>456</v>
      </c>
      <c r="F155" t="s">
        <v>457</v>
      </c>
      <c r="G155" t="s">
        <v>36</v>
      </c>
      <c r="H155" s="1">
        <v>45930</v>
      </c>
      <c r="I155" t="s">
        <v>458</v>
      </c>
      <c r="J155" t="s">
        <v>459</v>
      </c>
      <c r="K155">
        <v>5</v>
      </c>
    </row>
    <row r="156" spans="1:19" hidden="1" x14ac:dyDescent="0.2">
      <c r="A156">
        <v>159</v>
      </c>
      <c r="B156" t="s">
        <v>22</v>
      </c>
      <c r="C156" t="s">
        <v>92</v>
      </c>
      <c r="D156" t="s">
        <v>450</v>
      </c>
      <c r="E156" t="s">
        <v>451</v>
      </c>
      <c r="F156" t="s">
        <v>452</v>
      </c>
      <c r="G156" t="s">
        <v>36</v>
      </c>
      <c r="H156" s="1">
        <v>45930</v>
      </c>
      <c r="I156" t="s">
        <v>453</v>
      </c>
      <c r="J156" t="s">
        <v>454</v>
      </c>
      <c r="K156">
        <v>5</v>
      </c>
    </row>
    <row r="157" spans="1:19" hidden="1" x14ac:dyDescent="0.2">
      <c r="A157">
        <v>158</v>
      </c>
      <c r="B157" t="s">
        <v>106</v>
      </c>
      <c r="C157" t="s">
        <v>92</v>
      </c>
      <c r="D157" t="s">
        <v>189</v>
      </c>
      <c r="E157" t="s">
        <v>185</v>
      </c>
      <c r="F157" t="s">
        <v>186</v>
      </c>
      <c r="G157" t="s">
        <v>47</v>
      </c>
      <c r="H157" s="1">
        <v>45930</v>
      </c>
      <c r="I157" t="s">
        <v>185</v>
      </c>
      <c r="J157" t="s">
        <v>449</v>
      </c>
      <c r="K157">
        <v>5</v>
      </c>
    </row>
    <row r="158" spans="1:19" ht="176" hidden="1" x14ac:dyDescent="0.2">
      <c r="A158">
        <v>168</v>
      </c>
      <c r="B158" t="s">
        <v>28</v>
      </c>
      <c r="C158" t="s">
        <v>92</v>
      </c>
      <c r="E158" t="s">
        <v>15</v>
      </c>
      <c r="F158" t="s">
        <v>483</v>
      </c>
      <c r="G158" t="s">
        <v>36</v>
      </c>
      <c r="H158" s="1">
        <v>45931</v>
      </c>
      <c r="I158" t="s">
        <v>31</v>
      </c>
      <c r="J158" s="3" t="s">
        <v>484</v>
      </c>
      <c r="K158">
        <v>5</v>
      </c>
    </row>
    <row r="159" spans="1:19" ht="409.6" hidden="1" x14ac:dyDescent="0.2">
      <c r="A159">
        <v>168</v>
      </c>
      <c r="B159" t="s">
        <v>28</v>
      </c>
      <c r="C159" t="s">
        <v>92</v>
      </c>
      <c r="E159" t="s">
        <v>923</v>
      </c>
      <c r="F159" t="s">
        <v>485</v>
      </c>
      <c r="G159" t="s">
        <v>17</v>
      </c>
      <c r="H159" s="1">
        <v>45931</v>
      </c>
      <c r="I159" t="s">
        <v>31</v>
      </c>
      <c r="J159" s="3" t="s">
        <v>486</v>
      </c>
      <c r="K159">
        <v>5</v>
      </c>
    </row>
    <row r="160" spans="1:19" hidden="1" x14ac:dyDescent="0.2">
      <c r="A160">
        <v>166</v>
      </c>
      <c r="B160" t="s">
        <v>65</v>
      </c>
      <c r="C160" t="s">
        <v>92</v>
      </c>
      <c r="D160" t="s">
        <v>476</v>
      </c>
      <c r="E160" t="s">
        <v>62</v>
      </c>
      <c r="F160" t="s">
        <v>477</v>
      </c>
      <c r="G160" t="s">
        <v>17</v>
      </c>
      <c r="H160" s="1">
        <v>45931</v>
      </c>
      <c r="I160" t="s">
        <v>68</v>
      </c>
      <c r="J160" t="s">
        <v>478</v>
      </c>
      <c r="K160">
        <v>5</v>
      </c>
    </row>
    <row r="161" spans="1:19" hidden="1" x14ac:dyDescent="0.2">
      <c r="A161">
        <v>173</v>
      </c>
      <c r="B161" t="s">
        <v>61</v>
      </c>
      <c r="C161" t="s">
        <v>92</v>
      </c>
      <c r="D161" t="s">
        <v>500</v>
      </c>
      <c r="E161" t="s">
        <v>62</v>
      </c>
      <c r="F161" t="s">
        <v>390</v>
      </c>
      <c r="G161" t="s">
        <v>220</v>
      </c>
      <c r="H161" s="1">
        <v>45932</v>
      </c>
      <c r="I161" t="s">
        <v>64</v>
      </c>
      <c r="J161" t="s">
        <v>501</v>
      </c>
      <c r="K161">
        <v>5</v>
      </c>
      <c r="R161" t="s">
        <v>202</v>
      </c>
      <c r="S161" t="s">
        <v>502</v>
      </c>
    </row>
    <row r="162" spans="1:19" hidden="1" x14ac:dyDescent="0.2">
      <c r="A162">
        <v>172</v>
      </c>
      <c r="B162" t="s">
        <v>28</v>
      </c>
      <c r="C162" t="s">
        <v>92</v>
      </c>
      <c r="E162" t="s">
        <v>15</v>
      </c>
      <c r="F162" t="s">
        <v>494</v>
      </c>
      <c r="G162" t="s">
        <v>17</v>
      </c>
      <c r="H162" s="1">
        <v>45932</v>
      </c>
      <c r="I162" t="s">
        <v>495</v>
      </c>
      <c r="J162" t="s">
        <v>496</v>
      </c>
      <c r="K162">
        <v>5</v>
      </c>
    </row>
    <row r="163" spans="1:19" hidden="1" x14ac:dyDescent="0.2">
      <c r="A163">
        <v>172</v>
      </c>
      <c r="B163" t="s">
        <v>28</v>
      </c>
      <c r="C163" t="s">
        <v>92</v>
      </c>
      <c r="E163" t="s">
        <v>15</v>
      </c>
      <c r="F163" t="s">
        <v>497</v>
      </c>
      <c r="G163" t="s">
        <v>17</v>
      </c>
      <c r="H163" s="1">
        <v>45932</v>
      </c>
      <c r="I163" t="s">
        <v>495</v>
      </c>
      <c r="J163" t="s">
        <v>498</v>
      </c>
      <c r="K163">
        <v>5</v>
      </c>
    </row>
    <row r="164" spans="1:19" hidden="1" x14ac:dyDescent="0.2">
      <c r="A164">
        <v>172</v>
      </c>
      <c r="B164" t="s">
        <v>28</v>
      </c>
      <c r="C164" t="s">
        <v>92</v>
      </c>
      <c r="E164" t="s">
        <v>15</v>
      </c>
      <c r="F164" t="s">
        <v>20</v>
      </c>
      <c r="G164" t="s">
        <v>17</v>
      </c>
      <c r="H164" s="1">
        <v>45932</v>
      </c>
      <c r="I164" t="s">
        <v>495</v>
      </c>
      <c r="J164" t="s">
        <v>499</v>
      </c>
      <c r="K164">
        <v>5</v>
      </c>
    </row>
    <row r="165" spans="1:19" hidden="1" x14ac:dyDescent="0.2">
      <c r="A165">
        <v>171</v>
      </c>
      <c r="B165" t="s">
        <v>22</v>
      </c>
      <c r="C165" t="s">
        <v>92</v>
      </c>
      <c r="D165" t="s">
        <v>444</v>
      </c>
      <c r="E165" t="s">
        <v>490</v>
      </c>
      <c r="F165" t="s">
        <v>491</v>
      </c>
      <c r="G165" t="s">
        <v>36</v>
      </c>
      <c r="H165" s="1">
        <v>45932</v>
      </c>
      <c r="I165" t="s">
        <v>492</v>
      </c>
      <c r="J165" t="s">
        <v>493</v>
      </c>
      <c r="K165">
        <v>5</v>
      </c>
    </row>
    <row r="166" spans="1:19" hidden="1" x14ac:dyDescent="0.2">
      <c r="A166">
        <v>175</v>
      </c>
      <c r="B166" t="s">
        <v>125</v>
      </c>
      <c r="C166" t="s">
        <v>92</v>
      </c>
      <c r="D166" t="s">
        <v>50</v>
      </c>
      <c r="E166" t="s">
        <v>503</v>
      </c>
      <c r="F166" t="s">
        <v>503</v>
      </c>
      <c r="G166" t="s">
        <v>17</v>
      </c>
      <c r="H166" s="1">
        <v>45933</v>
      </c>
      <c r="I166" t="s">
        <v>192</v>
      </c>
      <c r="J166" t="s">
        <v>504</v>
      </c>
      <c r="K166">
        <v>5</v>
      </c>
    </row>
    <row r="167" spans="1:19" hidden="1" x14ac:dyDescent="0.2">
      <c r="A167">
        <v>175</v>
      </c>
      <c r="B167" t="s">
        <v>125</v>
      </c>
      <c r="C167" t="s">
        <v>92</v>
      </c>
      <c r="D167" t="s">
        <v>50</v>
      </c>
      <c r="E167" t="s">
        <v>15</v>
      </c>
      <c r="F167" t="s">
        <v>505</v>
      </c>
      <c r="G167" t="s">
        <v>17</v>
      </c>
      <c r="H167" s="1">
        <v>45933</v>
      </c>
      <c r="I167" t="s">
        <v>192</v>
      </c>
      <c r="J167" t="s">
        <v>506</v>
      </c>
      <c r="K167">
        <v>5</v>
      </c>
    </row>
    <row r="168" spans="1:19" hidden="1" x14ac:dyDescent="0.2">
      <c r="A168">
        <v>175</v>
      </c>
      <c r="B168" t="s">
        <v>125</v>
      </c>
      <c r="C168" t="s">
        <v>92</v>
      </c>
      <c r="D168" t="s">
        <v>50</v>
      </c>
      <c r="E168" t="s">
        <v>15</v>
      </c>
      <c r="F168" t="s">
        <v>169</v>
      </c>
      <c r="G168" t="s">
        <v>17</v>
      </c>
      <c r="H168" s="1">
        <v>45933</v>
      </c>
      <c r="I168" t="s">
        <v>192</v>
      </c>
      <c r="J168" t="s">
        <v>507</v>
      </c>
      <c r="K168">
        <v>5</v>
      </c>
    </row>
    <row r="169" spans="1:19" hidden="1" x14ac:dyDescent="0.2">
      <c r="A169">
        <v>175</v>
      </c>
      <c r="B169" t="s">
        <v>125</v>
      </c>
      <c r="C169" t="s">
        <v>92</v>
      </c>
      <c r="D169" t="s">
        <v>50</v>
      </c>
      <c r="E169" t="s">
        <v>15</v>
      </c>
      <c r="F169" t="s">
        <v>508</v>
      </c>
      <c r="G169" t="s">
        <v>17</v>
      </c>
      <c r="H169" s="1">
        <v>45933</v>
      </c>
      <c r="I169" t="s">
        <v>192</v>
      </c>
      <c r="J169" t="s">
        <v>507</v>
      </c>
      <c r="K169">
        <v>5</v>
      </c>
    </row>
    <row r="170" spans="1:19" hidden="1" x14ac:dyDescent="0.2">
      <c r="A170">
        <v>178</v>
      </c>
      <c r="B170" t="s">
        <v>125</v>
      </c>
      <c r="C170" t="s">
        <v>92</v>
      </c>
      <c r="D170" t="s">
        <v>513</v>
      </c>
      <c r="E170" t="s">
        <v>62</v>
      </c>
      <c r="F170" t="s">
        <v>390</v>
      </c>
      <c r="G170" t="s">
        <v>47</v>
      </c>
      <c r="H170" s="1">
        <v>45936</v>
      </c>
      <c r="I170" t="s">
        <v>229</v>
      </c>
      <c r="J170" t="s">
        <v>514</v>
      </c>
      <c r="K170">
        <v>5</v>
      </c>
    </row>
    <row r="171" spans="1:19" hidden="1" x14ac:dyDescent="0.2">
      <c r="A171">
        <v>176</v>
      </c>
      <c r="B171" t="s">
        <v>13</v>
      </c>
      <c r="C171" t="s">
        <v>92</v>
      </c>
      <c r="D171" t="s">
        <v>509</v>
      </c>
      <c r="E171" t="s">
        <v>15</v>
      </c>
      <c r="F171" t="s">
        <v>169</v>
      </c>
      <c r="G171" t="s">
        <v>17</v>
      </c>
      <c r="H171" s="1">
        <v>45936</v>
      </c>
      <c r="I171" t="s">
        <v>18</v>
      </c>
      <c r="J171" t="s">
        <v>510</v>
      </c>
      <c r="K171">
        <v>5</v>
      </c>
    </row>
    <row r="172" spans="1:19" hidden="1" x14ac:dyDescent="0.2">
      <c r="A172">
        <v>176</v>
      </c>
      <c r="B172" t="s">
        <v>13</v>
      </c>
      <c r="C172" t="s">
        <v>92</v>
      </c>
      <c r="D172" t="s">
        <v>509</v>
      </c>
      <c r="E172" t="s">
        <v>15</v>
      </c>
      <c r="F172" t="s">
        <v>508</v>
      </c>
      <c r="G172" t="s">
        <v>17</v>
      </c>
      <c r="H172" s="1">
        <v>45936</v>
      </c>
      <c r="I172" t="s">
        <v>18</v>
      </c>
      <c r="J172" t="s">
        <v>511</v>
      </c>
      <c r="K172">
        <v>5</v>
      </c>
    </row>
    <row r="173" spans="1:19" hidden="1" x14ac:dyDescent="0.2">
      <c r="A173">
        <v>176</v>
      </c>
      <c r="B173" t="s">
        <v>13</v>
      </c>
      <c r="C173" t="s">
        <v>92</v>
      </c>
      <c r="D173" t="s">
        <v>509</v>
      </c>
      <c r="E173" t="s">
        <v>15</v>
      </c>
      <c r="F173" t="s">
        <v>20</v>
      </c>
      <c r="G173" t="s">
        <v>17</v>
      </c>
      <c r="H173" s="1">
        <v>45936</v>
      </c>
      <c r="I173" t="s">
        <v>18</v>
      </c>
      <c r="J173" t="s">
        <v>512</v>
      </c>
      <c r="K173">
        <v>5</v>
      </c>
    </row>
    <row r="174" spans="1:19" hidden="1" x14ac:dyDescent="0.2">
      <c r="A174">
        <v>182</v>
      </c>
      <c r="B174" t="s">
        <v>61</v>
      </c>
      <c r="C174" t="s">
        <v>92</v>
      </c>
      <c r="D174" t="s">
        <v>530</v>
      </c>
      <c r="E174" t="s">
        <v>62</v>
      </c>
      <c r="F174" t="s">
        <v>390</v>
      </c>
      <c r="G174" t="s">
        <v>17</v>
      </c>
      <c r="H174" s="1">
        <v>45937</v>
      </c>
      <c r="I174" t="s">
        <v>531</v>
      </c>
      <c r="J174" t="s">
        <v>532</v>
      </c>
      <c r="K174">
        <v>5</v>
      </c>
    </row>
    <row r="175" spans="1:19" hidden="1" x14ac:dyDescent="0.2">
      <c r="A175">
        <v>182</v>
      </c>
      <c r="B175" t="s">
        <v>61</v>
      </c>
      <c r="C175" t="s">
        <v>92</v>
      </c>
      <c r="D175" t="s">
        <v>530</v>
      </c>
      <c r="E175" t="s">
        <v>62</v>
      </c>
      <c r="F175" t="s">
        <v>533</v>
      </c>
      <c r="G175" t="s">
        <v>220</v>
      </c>
      <c r="H175" s="1">
        <v>45937</v>
      </c>
      <c r="I175" t="s">
        <v>531</v>
      </c>
      <c r="J175" t="s">
        <v>534</v>
      </c>
      <c r="K175">
        <v>5</v>
      </c>
      <c r="R175" t="s">
        <v>202</v>
      </c>
      <c r="S175" t="s">
        <v>502</v>
      </c>
    </row>
    <row r="176" spans="1:19" hidden="1" x14ac:dyDescent="0.2">
      <c r="A176">
        <v>180</v>
      </c>
      <c r="B176" t="s">
        <v>22</v>
      </c>
      <c r="C176" t="s">
        <v>92</v>
      </c>
      <c r="D176" t="s">
        <v>522</v>
      </c>
      <c r="E176" t="s">
        <v>523</v>
      </c>
      <c r="F176" t="s">
        <v>524</v>
      </c>
      <c r="G176" t="s">
        <v>17</v>
      </c>
      <c r="H176" s="1">
        <v>45937</v>
      </c>
      <c r="I176" t="s">
        <v>525</v>
      </c>
      <c r="J176" t="s">
        <v>526</v>
      </c>
      <c r="K176">
        <v>5</v>
      </c>
    </row>
    <row r="177" spans="1:19" hidden="1" x14ac:dyDescent="0.2">
      <c r="A177">
        <v>180</v>
      </c>
      <c r="B177" t="s">
        <v>22</v>
      </c>
      <c r="C177" t="s">
        <v>92</v>
      </c>
      <c r="D177" t="s">
        <v>522</v>
      </c>
      <c r="E177" t="s">
        <v>523</v>
      </c>
      <c r="F177" t="s">
        <v>524</v>
      </c>
      <c r="G177" t="s">
        <v>200</v>
      </c>
      <c r="H177" s="1">
        <v>45937</v>
      </c>
      <c r="I177" t="s">
        <v>525</v>
      </c>
      <c r="J177" t="s">
        <v>526</v>
      </c>
      <c r="K177">
        <v>5</v>
      </c>
      <c r="R177" t="s">
        <v>202</v>
      </c>
      <c r="S177" t="s">
        <v>527</v>
      </c>
    </row>
    <row r="178" spans="1:19" hidden="1" x14ac:dyDescent="0.2">
      <c r="A178">
        <v>179</v>
      </c>
      <c r="B178" t="s">
        <v>22</v>
      </c>
      <c r="C178" t="s">
        <v>92</v>
      </c>
      <c r="D178" t="s">
        <v>515</v>
      </c>
      <c r="E178" t="s">
        <v>456</v>
      </c>
      <c r="F178" t="s">
        <v>516</v>
      </c>
      <c r="G178" t="s">
        <v>17</v>
      </c>
      <c r="H178" s="1">
        <v>45937</v>
      </c>
      <c r="I178" t="s">
        <v>517</v>
      </c>
      <c r="J178" t="s">
        <v>518</v>
      </c>
      <c r="K178">
        <v>5</v>
      </c>
    </row>
    <row r="179" spans="1:19" hidden="1" x14ac:dyDescent="0.2">
      <c r="A179">
        <v>179</v>
      </c>
      <c r="B179" t="s">
        <v>22</v>
      </c>
      <c r="C179" t="s">
        <v>92</v>
      </c>
      <c r="D179" t="s">
        <v>515</v>
      </c>
      <c r="E179" t="s">
        <v>456</v>
      </c>
      <c r="F179" t="s">
        <v>516</v>
      </c>
      <c r="G179" t="s">
        <v>200</v>
      </c>
      <c r="H179" s="1">
        <v>45937</v>
      </c>
      <c r="I179" t="s">
        <v>517</v>
      </c>
      <c r="J179" t="s">
        <v>518</v>
      </c>
      <c r="K179">
        <v>5</v>
      </c>
      <c r="R179" t="s">
        <v>202</v>
      </c>
      <c r="S179" t="s">
        <v>519</v>
      </c>
    </row>
    <row r="180" spans="1:19" hidden="1" x14ac:dyDescent="0.2">
      <c r="A180">
        <v>187</v>
      </c>
      <c r="B180" t="s">
        <v>28</v>
      </c>
      <c r="C180" t="s">
        <v>92</v>
      </c>
      <c r="D180" t="s">
        <v>552</v>
      </c>
      <c r="E180" t="s">
        <v>15</v>
      </c>
      <c r="F180" t="s">
        <v>553</v>
      </c>
      <c r="G180" t="s">
        <v>17</v>
      </c>
      <c r="H180" s="1">
        <v>45938</v>
      </c>
      <c r="I180" t="s">
        <v>31</v>
      </c>
      <c r="J180" t="s">
        <v>554</v>
      </c>
      <c r="K180">
        <v>5</v>
      </c>
    </row>
    <row r="181" spans="1:19" hidden="1" x14ac:dyDescent="0.2">
      <c r="A181">
        <v>187</v>
      </c>
      <c r="B181" t="s">
        <v>28</v>
      </c>
      <c r="C181" t="s">
        <v>92</v>
      </c>
      <c r="D181" t="s">
        <v>552</v>
      </c>
      <c r="E181" t="s">
        <v>15</v>
      </c>
      <c r="F181" t="s">
        <v>20</v>
      </c>
      <c r="G181" t="s">
        <v>17</v>
      </c>
      <c r="H181" s="1">
        <v>45938</v>
      </c>
      <c r="I181" t="s">
        <v>31</v>
      </c>
      <c r="J181" t="s">
        <v>555</v>
      </c>
      <c r="K181">
        <v>5</v>
      </c>
    </row>
    <row r="182" spans="1:19" hidden="1" x14ac:dyDescent="0.2">
      <c r="A182">
        <v>187</v>
      </c>
      <c r="B182" t="s">
        <v>28</v>
      </c>
      <c r="C182" t="s">
        <v>92</v>
      </c>
      <c r="D182" t="s">
        <v>552</v>
      </c>
      <c r="E182" t="s">
        <v>15</v>
      </c>
      <c r="F182" t="s">
        <v>556</v>
      </c>
      <c r="G182" t="s">
        <v>17</v>
      </c>
      <c r="H182" s="1">
        <v>45938</v>
      </c>
      <c r="I182" t="s">
        <v>31</v>
      </c>
      <c r="J182" t="s">
        <v>557</v>
      </c>
      <c r="K182">
        <v>5</v>
      </c>
    </row>
    <row r="183" spans="1:19" hidden="1" x14ac:dyDescent="0.2">
      <c r="A183">
        <v>187</v>
      </c>
      <c r="B183" t="s">
        <v>28</v>
      </c>
      <c r="C183" t="s">
        <v>92</v>
      </c>
      <c r="D183" t="s">
        <v>552</v>
      </c>
      <c r="E183" t="s">
        <v>15</v>
      </c>
      <c r="F183" t="s">
        <v>558</v>
      </c>
      <c r="G183" t="s">
        <v>17</v>
      </c>
      <c r="H183" s="1">
        <v>45938</v>
      </c>
      <c r="I183" t="s">
        <v>31</v>
      </c>
      <c r="J183" t="s">
        <v>557</v>
      </c>
      <c r="K183">
        <v>5</v>
      </c>
    </row>
    <row r="184" spans="1:19" hidden="1" x14ac:dyDescent="0.2">
      <c r="A184">
        <v>185</v>
      </c>
      <c r="B184" t="s">
        <v>106</v>
      </c>
      <c r="C184" t="s">
        <v>92</v>
      </c>
      <c r="D184" t="s">
        <v>545</v>
      </c>
      <c r="E184" t="s">
        <v>546</v>
      </c>
      <c r="F184" t="s">
        <v>547</v>
      </c>
      <c r="G184" t="s">
        <v>220</v>
      </c>
      <c r="H184" s="1">
        <v>45938</v>
      </c>
      <c r="I184" t="s">
        <v>548</v>
      </c>
      <c r="J184" t="s">
        <v>549</v>
      </c>
      <c r="K184">
        <v>5</v>
      </c>
      <c r="R184" t="s">
        <v>214</v>
      </c>
      <c r="S184" t="s">
        <v>550</v>
      </c>
    </row>
    <row r="185" spans="1:19" hidden="1" x14ac:dyDescent="0.2">
      <c r="A185">
        <v>184</v>
      </c>
      <c r="B185" t="s">
        <v>43</v>
      </c>
      <c r="C185" t="s">
        <v>92</v>
      </c>
      <c r="D185" t="s">
        <v>541</v>
      </c>
      <c r="E185" t="s">
        <v>542</v>
      </c>
      <c r="F185" t="s">
        <v>543</v>
      </c>
      <c r="G185" t="s">
        <v>47</v>
      </c>
      <c r="H185" s="1">
        <v>45938</v>
      </c>
      <c r="I185" t="s">
        <v>48</v>
      </c>
      <c r="J185" t="s">
        <v>544</v>
      </c>
      <c r="K185">
        <v>5</v>
      </c>
    </row>
    <row r="186" spans="1:19" hidden="1" x14ac:dyDescent="0.2">
      <c r="A186">
        <v>183</v>
      </c>
      <c r="B186" t="s">
        <v>22</v>
      </c>
      <c r="C186" t="s">
        <v>92</v>
      </c>
      <c r="D186" t="s">
        <v>536</v>
      </c>
      <c r="E186" t="s">
        <v>537</v>
      </c>
      <c r="F186" t="s">
        <v>538</v>
      </c>
      <c r="G186" t="s">
        <v>17</v>
      </c>
      <c r="H186" s="1">
        <v>45938</v>
      </c>
      <c r="I186" t="s">
        <v>539</v>
      </c>
      <c r="J186" t="s">
        <v>540</v>
      </c>
      <c r="K186">
        <v>5</v>
      </c>
    </row>
    <row r="187" spans="1:19" hidden="1" x14ac:dyDescent="0.2">
      <c r="A187">
        <v>190</v>
      </c>
      <c r="B187" t="s">
        <v>13</v>
      </c>
      <c r="C187" t="s">
        <v>92</v>
      </c>
      <c r="D187" t="s">
        <v>569</v>
      </c>
      <c r="E187" t="s">
        <v>15</v>
      </c>
      <c r="F187" t="s">
        <v>570</v>
      </c>
      <c r="G187" t="s">
        <v>17</v>
      </c>
      <c r="H187" s="1">
        <v>45939</v>
      </c>
      <c r="I187" t="s">
        <v>18</v>
      </c>
      <c r="J187" t="s">
        <v>571</v>
      </c>
      <c r="K187">
        <v>5</v>
      </c>
      <c r="L187">
        <v>1</v>
      </c>
      <c r="M187">
        <v>0</v>
      </c>
      <c r="N187">
        <v>0</v>
      </c>
      <c r="O187">
        <v>1</v>
      </c>
      <c r="P187">
        <v>0</v>
      </c>
      <c r="Q187">
        <v>1</v>
      </c>
    </row>
    <row r="188" spans="1:19" hidden="1" x14ac:dyDescent="0.2">
      <c r="A188">
        <v>190</v>
      </c>
      <c r="B188" t="s">
        <v>13</v>
      </c>
      <c r="C188" t="s">
        <v>92</v>
      </c>
      <c r="D188" t="s">
        <v>569</v>
      </c>
      <c r="E188" t="s">
        <v>572</v>
      </c>
      <c r="F188" t="s">
        <v>573</v>
      </c>
      <c r="G188" t="s">
        <v>47</v>
      </c>
      <c r="H188" s="1">
        <v>45939</v>
      </c>
      <c r="I188" t="s">
        <v>18</v>
      </c>
      <c r="J188" t="s">
        <v>574</v>
      </c>
      <c r="K188">
        <v>5</v>
      </c>
      <c r="L188">
        <v>1</v>
      </c>
      <c r="M188">
        <v>0</v>
      </c>
      <c r="N188">
        <v>0</v>
      </c>
      <c r="O188">
        <v>1</v>
      </c>
      <c r="P188">
        <v>0</v>
      </c>
      <c r="Q188">
        <v>1</v>
      </c>
    </row>
    <row r="189" spans="1:19" hidden="1" x14ac:dyDescent="0.2">
      <c r="A189">
        <v>190</v>
      </c>
      <c r="B189" t="s">
        <v>13</v>
      </c>
      <c r="C189" t="s">
        <v>92</v>
      </c>
      <c r="D189" t="s">
        <v>569</v>
      </c>
      <c r="E189" t="s">
        <v>15</v>
      </c>
      <c r="F189" t="s">
        <v>575</v>
      </c>
      <c r="G189" t="s">
        <v>210</v>
      </c>
      <c r="H189" s="1">
        <v>45939</v>
      </c>
      <c r="I189" t="s">
        <v>18</v>
      </c>
      <c r="J189" t="s">
        <v>576</v>
      </c>
      <c r="K189">
        <v>5</v>
      </c>
      <c r="L189">
        <v>1</v>
      </c>
      <c r="M189">
        <v>0</v>
      </c>
      <c r="N189">
        <v>0</v>
      </c>
      <c r="O189">
        <v>1</v>
      </c>
      <c r="P189">
        <v>0</v>
      </c>
      <c r="Q189">
        <v>1</v>
      </c>
      <c r="R189" t="s">
        <v>214</v>
      </c>
      <c r="S189" t="s">
        <v>577</v>
      </c>
    </row>
    <row r="190" spans="1:19" hidden="1" x14ac:dyDescent="0.2">
      <c r="A190">
        <v>190</v>
      </c>
      <c r="B190" t="s">
        <v>13</v>
      </c>
      <c r="C190" t="s">
        <v>92</v>
      </c>
      <c r="D190" t="s">
        <v>569</v>
      </c>
      <c r="E190" t="s">
        <v>15</v>
      </c>
      <c r="F190" t="s">
        <v>575</v>
      </c>
      <c r="G190" t="s">
        <v>210</v>
      </c>
      <c r="H190" s="1">
        <v>45939</v>
      </c>
      <c r="I190" t="s">
        <v>18</v>
      </c>
      <c r="J190" t="s">
        <v>576</v>
      </c>
      <c r="K190">
        <v>5</v>
      </c>
      <c r="L190">
        <v>1</v>
      </c>
      <c r="M190">
        <v>0</v>
      </c>
      <c r="N190">
        <v>0</v>
      </c>
      <c r="O190">
        <v>1</v>
      </c>
      <c r="P190">
        <v>0</v>
      </c>
      <c r="Q190">
        <v>1</v>
      </c>
      <c r="R190" t="s">
        <v>202</v>
      </c>
      <c r="S190" t="s">
        <v>578</v>
      </c>
    </row>
    <row r="191" spans="1:19" hidden="1" x14ac:dyDescent="0.2">
      <c r="A191">
        <v>189</v>
      </c>
      <c r="B191" t="s">
        <v>106</v>
      </c>
      <c r="C191" t="s">
        <v>92</v>
      </c>
      <c r="D191" t="s">
        <v>566</v>
      </c>
      <c r="E191" t="s">
        <v>546</v>
      </c>
      <c r="F191" t="s">
        <v>547</v>
      </c>
      <c r="G191" t="s">
        <v>220</v>
      </c>
      <c r="H191" s="1">
        <v>45939</v>
      </c>
      <c r="I191" t="s">
        <v>548</v>
      </c>
      <c r="J191" t="s">
        <v>567</v>
      </c>
      <c r="K191">
        <v>5</v>
      </c>
      <c r="L191">
        <v>1</v>
      </c>
      <c r="M191">
        <v>1</v>
      </c>
      <c r="N191">
        <v>0</v>
      </c>
      <c r="O191">
        <v>0</v>
      </c>
      <c r="P191">
        <v>1</v>
      </c>
      <c r="Q191">
        <v>1</v>
      </c>
      <c r="R191" t="s">
        <v>202</v>
      </c>
      <c r="S191" t="s">
        <v>314</v>
      </c>
    </row>
    <row r="192" spans="1:19" hidden="1" x14ac:dyDescent="0.2">
      <c r="A192">
        <v>188</v>
      </c>
      <c r="B192" t="s">
        <v>43</v>
      </c>
      <c r="C192" t="s">
        <v>92</v>
      </c>
      <c r="D192" t="s">
        <v>559</v>
      </c>
      <c r="E192" t="s">
        <v>62</v>
      </c>
      <c r="F192" t="s">
        <v>219</v>
      </c>
      <c r="G192" t="s">
        <v>47</v>
      </c>
      <c r="H192" s="1">
        <v>45939</v>
      </c>
      <c r="I192" t="s">
        <v>229</v>
      </c>
      <c r="J192" t="s">
        <v>560</v>
      </c>
      <c r="K192">
        <v>5</v>
      </c>
      <c r="L192">
        <v>0</v>
      </c>
      <c r="M192">
        <v>0</v>
      </c>
      <c r="N192">
        <v>0</v>
      </c>
      <c r="O192">
        <v>0</v>
      </c>
      <c r="P192">
        <v>0</v>
      </c>
      <c r="Q192">
        <v>1</v>
      </c>
    </row>
    <row r="193" spans="1:19" hidden="1" x14ac:dyDescent="0.2">
      <c r="A193">
        <v>188</v>
      </c>
      <c r="B193" t="s">
        <v>43</v>
      </c>
      <c r="C193" t="s">
        <v>92</v>
      </c>
      <c r="D193" t="s">
        <v>559</v>
      </c>
      <c r="E193" t="s">
        <v>561</v>
      </c>
      <c r="F193" t="s">
        <v>250</v>
      </c>
      <c r="G193" t="s">
        <v>47</v>
      </c>
      <c r="H193" s="1">
        <v>45939</v>
      </c>
      <c r="I193" t="s">
        <v>229</v>
      </c>
      <c r="J193" t="s">
        <v>562</v>
      </c>
      <c r="K193">
        <v>5</v>
      </c>
      <c r="L193">
        <v>0</v>
      </c>
      <c r="M193">
        <v>0</v>
      </c>
      <c r="N193">
        <v>0</v>
      </c>
      <c r="O193">
        <v>0</v>
      </c>
      <c r="P193">
        <v>0</v>
      </c>
      <c r="Q193">
        <v>1</v>
      </c>
    </row>
    <row r="194" spans="1:19" hidden="1" x14ac:dyDescent="0.2">
      <c r="A194">
        <v>188</v>
      </c>
      <c r="B194" t="s">
        <v>43</v>
      </c>
      <c r="C194" t="s">
        <v>92</v>
      </c>
      <c r="D194" t="s">
        <v>559</v>
      </c>
      <c r="E194" t="s">
        <v>62</v>
      </c>
      <c r="F194" t="s">
        <v>133</v>
      </c>
      <c r="G194" t="s">
        <v>47</v>
      </c>
      <c r="H194" s="1">
        <v>45939</v>
      </c>
      <c r="I194" t="s">
        <v>229</v>
      </c>
      <c r="J194" t="s">
        <v>563</v>
      </c>
      <c r="K194">
        <v>5</v>
      </c>
      <c r="L194">
        <v>0</v>
      </c>
      <c r="M194">
        <v>0</v>
      </c>
      <c r="N194">
        <v>0</v>
      </c>
      <c r="O194">
        <v>0</v>
      </c>
      <c r="P194">
        <v>0</v>
      </c>
      <c r="Q194">
        <v>1</v>
      </c>
    </row>
    <row r="195" spans="1:19" hidden="1" x14ac:dyDescent="0.2">
      <c r="A195">
        <v>188</v>
      </c>
      <c r="B195" t="s">
        <v>43</v>
      </c>
      <c r="C195" t="s">
        <v>92</v>
      </c>
      <c r="D195" t="s">
        <v>559</v>
      </c>
      <c r="E195" t="s">
        <v>62</v>
      </c>
      <c r="F195" t="s">
        <v>135</v>
      </c>
      <c r="G195" t="s">
        <v>47</v>
      </c>
      <c r="H195" s="1">
        <v>45939</v>
      </c>
      <c r="I195" t="s">
        <v>229</v>
      </c>
      <c r="J195" t="s">
        <v>564</v>
      </c>
      <c r="K195">
        <v>5</v>
      </c>
      <c r="L195">
        <v>0</v>
      </c>
      <c r="M195">
        <v>0</v>
      </c>
      <c r="N195">
        <v>0</v>
      </c>
      <c r="O195">
        <v>0</v>
      </c>
      <c r="P195">
        <v>0</v>
      </c>
      <c r="Q195">
        <v>1</v>
      </c>
    </row>
    <row r="196" spans="1:19" hidden="1" x14ac:dyDescent="0.2">
      <c r="A196">
        <v>188</v>
      </c>
      <c r="B196" t="s">
        <v>43</v>
      </c>
      <c r="C196" t="s">
        <v>92</v>
      </c>
      <c r="D196" t="s">
        <v>559</v>
      </c>
      <c r="E196" t="s">
        <v>62</v>
      </c>
      <c r="F196" t="s">
        <v>390</v>
      </c>
      <c r="G196" t="s">
        <v>47</v>
      </c>
      <c r="H196" s="1">
        <v>45939</v>
      </c>
      <c r="I196" t="s">
        <v>229</v>
      </c>
      <c r="J196" t="s">
        <v>565</v>
      </c>
      <c r="K196">
        <v>5</v>
      </c>
      <c r="L196">
        <v>0</v>
      </c>
      <c r="M196">
        <v>0</v>
      </c>
      <c r="N196">
        <v>0</v>
      </c>
      <c r="O196">
        <v>0</v>
      </c>
      <c r="P196">
        <v>0</v>
      </c>
      <c r="Q196">
        <v>1</v>
      </c>
    </row>
    <row r="197" spans="1:19" hidden="1" x14ac:dyDescent="0.2">
      <c r="A197">
        <v>192</v>
      </c>
      <c r="B197" t="s">
        <v>28</v>
      </c>
      <c r="C197" t="s">
        <v>92</v>
      </c>
      <c r="D197" t="s">
        <v>584</v>
      </c>
      <c r="E197" t="s">
        <v>15</v>
      </c>
      <c r="F197" t="s">
        <v>57</v>
      </c>
      <c r="G197" t="s">
        <v>17</v>
      </c>
      <c r="H197" s="1">
        <v>45940</v>
      </c>
      <c r="I197" t="s">
        <v>29</v>
      </c>
      <c r="J197" t="s">
        <v>585</v>
      </c>
      <c r="K197">
        <v>5</v>
      </c>
      <c r="L197">
        <v>1</v>
      </c>
      <c r="M197">
        <v>1</v>
      </c>
      <c r="N197">
        <v>0</v>
      </c>
      <c r="O197">
        <v>1</v>
      </c>
      <c r="P197">
        <v>0</v>
      </c>
      <c r="Q197">
        <v>1</v>
      </c>
    </row>
    <row r="198" spans="1:19" hidden="1" x14ac:dyDescent="0.2">
      <c r="A198">
        <v>191</v>
      </c>
      <c r="B198" t="s">
        <v>61</v>
      </c>
      <c r="C198" t="s">
        <v>92</v>
      </c>
      <c r="D198" t="s">
        <v>579</v>
      </c>
      <c r="E198" t="s">
        <v>62</v>
      </c>
      <c r="F198" t="s">
        <v>390</v>
      </c>
      <c r="G198" t="s">
        <v>17</v>
      </c>
      <c r="H198" s="1">
        <v>45940</v>
      </c>
      <c r="I198" t="s">
        <v>531</v>
      </c>
      <c r="J198" t="s">
        <v>580</v>
      </c>
      <c r="K198">
        <v>5</v>
      </c>
      <c r="L198">
        <v>1</v>
      </c>
      <c r="M198">
        <v>1</v>
      </c>
      <c r="N198">
        <v>1</v>
      </c>
      <c r="O198">
        <v>1</v>
      </c>
      <c r="P198">
        <v>1</v>
      </c>
      <c r="Q198">
        <v>1</v>
      </c>
    </row>
    <row r="199" spans="1:19" hidden="1" x14ac:dyDescent="0.2">
      <c r="A199">
        <v>191</v>
      </c>
      <c r="B199" t="s">
        <v>61</v>
      </c>
      <c r="C199" t="s">
        <v>92</v>
      </c>
      <c r="D199" t="s">
        <v>579</v>
      </c>
      <c r="E199" t="s">
        <v>62</v>
      </c>
      <c r="F199" t="s">
        <v>581</v>
      </c>
      <c r="G199" t="s">
        <v>17</v>
      </c>
      <c r="H199" s="1">
        <v>45940</v>
      </c>
      <c r="I199" t="s">
        <v>531</v>
      </c>
      <c r="J199" t="s">
        <v>582</v>
      </c>
      <c r="K199">
        <v>5</v>
      </c>
      <c r="L199">
        <v>1</v>
      </c>
      <c r="M199">
        <v>1</v>
      </c>
      <c r="N199">
        <v>1</v>
      </c>
      <c r="O199">
        <v>1</v>
      </c>
      <c r="P199">
        <v>1</v>
      </c>
      <c r="Q199">
        <v>1</v>
      </c>
    </row>
    <row r="200" spans="1:19" hidden="1" x14ac:dyDescent="0.2">
      <c r="A200">
        <v>191</v>
      </c>
      <c r="B200" t="s">
        <v>61</v>
      </c>
      <c r="C200" t="s">
        <v>92</v>
      </c>
      <c r="D200" t="s">
        <v>579</v>
      </c>
      <c r="E200" t="s">
        <v>62</v>
      </c>
      <c r="F200" t="s">
        <v>324</v>
      </c>
      <c r="G200" t="s">
        <v>17</v>
      </c>
      <c r="H200" s="1">
        <v>45940</v>
      </c>
      <c r="I200" t="s">
        <v>531</v>
      </c>
      <c r="J200" t="s">
        <v>583</v>
      </c>
      <c r="K200">
        <v>5</v>
      </c>
      <c r="L200">
        <v>1</v>
      </c>
      <c r="M200">
        <v>1</v>
      </c>
      <c r="N200">
        <v>1</v>
      </c>
      <c r="O200">
        <v>1</v>
      </c>
      <c r="P200">
        <v>1</v>
      </c>
      <c r="Q200">
        <v>1</v>
      </c>
    </row>
    <row r="201" spans="1:19" hidden="1" x14ac:dyDescent="0.2">
      <c r="A201">
        <v>191</v>
      </c>
      <c r="B201" t="s">
        <v>61</v>
      </c>
      <c r="C201" t="s">
        <v>92</v>
      </c>
      <c r="D201" t="s">
        <v>579</v>
      </c>
      <c r="E201" t="s">
        <v>62</v>
      </c>
      <c r="F201" t="s">
        <v>85</v>
      </c>
      <c r="G201" t="s">
        <v>17</v>
      </c>
      <c r="H201" s="1">
        <v>45940</v>
      </c>
      <c r="I201" t="s">
        <v>531</v>
      </c>
      <c r="J201" t="s">
        <v>583</v>
      </c>
      <c r="K201">
        <v>5</v>
      </c>
      <c r="L201">
        <v>1</v>
      </c>
      <c r="M201">
        <v>1</v>
      </c>
      <c r="N201">
        <v>1</v>
      </c>
      <c r="O201">
        <v>1</v>
      </c>
      <c r="P201">
        <v>1</v>
      </c>
      <c r="Q201">
        <v>1</v>
      </c>
    </row>
    <row r="202" spans="1:19" hidden="1" x14ac:dyDescent="0.2">
      <c r="A202">
        <v>195</v>
      </c>
      <c r="B202" t="s">
        <v>106</v>
      </c>
      <c r="C202" t="s">
        <v>92</v>
      </c>
      <c r="D202" t="s">
        <v>604</v>
      </c>
      <c r="E202" t="s">
        <v>546</v>
      </c>
      <c r="F202" t="s">
        <v>547</v>
      </c>
      <c r="G202" t="s">
        <v>220</v>
      </c>
      <c r="H202" s="1">
        <v>45943</v>
      </c>
      <c r="I202" t="s">
        <v>548</v>
      </c>
      <c r="J202" t="s">
        <v>605</v>
      </c>
      <c r="K202">
        <v>5</v>
      </c>
      <c r="L202">
        <v>1</v>
      </c>
      <c r="M202">
        <v>1</v>
      </c>
      <c r="N202">
        <v>1</v>
      </c>
      <c r="O202">
        <v>1</v>
      </c>
      <c r="P202">
        <v>1</v>
      </c>
      <c r="Q202">
        <v>1</v>
      </c>
      <c r="R202" t="s">
        <v>606</v>
      </c>
      <c r="S202" t="s">
        <v>1262</v>
      </c>
    </row>
    <row r="203" spans="1:19" hidden="1" x14ac:dyDescent="0.2">
      <c r="A203">
        <v>195</v>
      </c>
      <c r="B203" t="s">
        <v>106</v>
      </c>
      <c r="C203" t="s">
        <v>92</v>
      </c>
      <c r="D203" t="s">
        <v>604</v>
      </c>
      <c r="E203" t="s">
        <v>546</v>
      </c>
      <c r="F203" t="s">
        <v>547</v>
      </c>
      <c r="G203" t="s">
        <v>220</v>
      </c>
      <c r="H203" s="1">
        <v>45943</v>
      </c>
      <c r="I203" t="s">
        <v>548</v>
      </c>
      <c r="J203" t="s">
        <v>605</v>
      </c>
      <c r="K203">
        <v>5</v>
      </c>
      <c r="L203">
        <v>1</v>
      </c>
      <c r="M203">
        <v>1</v>
      </c>
      <c r="N203">
        <v>1</v>
      </c>
      <c r="O203">
        <v>1</v>
      </c>
      <c r="P203">
        <v>1</v>
      </c>
      <c r="Q203">
        <v>1</v>
      </c>
      <c r="R203" t="s">
        <v>606</v>
      </c>
      <c r="S203" t="s">
        <v>314</v>
      </c>
    </row>
    <row r="204" spans="1:19" hidden="1" x14ac:dyDescent="0.2">
      <c r="A204">
        <v>194</v>
      </c>
      <c r="B204" t="s">
        <v>43</v>
      </c>
      <c r="C204" t="s">
        <v>92</v>
      </c>
      <c r="D204" t="s">
        <v>594</v>
      </c>
      <c r="E204" t="s">
        <v>62</v>
      </c>
      <c r="F204" t="s">
        <v>390</v>
      </c>
      <c r="G204" t="s">
        <v>17</v>
      </c>
      <c r="H204" s="1">
        <v>45943</v>
      </c>
      <c r="I204" t="s">
        <v>48</v>
      </c>
      <c r="J204" t="s">
        <v>595</v>
      </c>
      <c r="K204">
        <v>5</v>
      </c>
      <c r="L204">
        <v>0</v>
      </c>
      <c r="M204">
        <v>0</v>
      </c>
      <c r="N204">
        <v>0</v>
      </c>
      <c r="O204">
        <v>1</v>
      </c>
      <c r="P204">
        <v>0</v>
      </c>
      <c r="Q204">
        <v>1</v>
      </c>
    </row>
    <row r="205" spans="1:19" hidden="1" x14ac:dyDescent="0.2">
      <c r="A205">
        <v>194</v>
      </c>
      <c r="B205" t="s">
        <v>43</v>
      </c>
      <c r="C205" t="s">
        <v>92</v>
      </c>
      <c r="D205" t="s">
        <v>594</v>
      </c>
      <c r="E205" t="s">
        <v>596</v>
      </c>
      <c r="F205" t="s">
        <v>597</v>
      </c>
      <c r="G205" t="s">
        <v>47</v>
      </c>
      <c r="H205" s="1">
        <v>45943</v>
      </c>
      <c r="I205" t="s">
        <v>48</v>
      </c>
      <c r="J205" t="s">
        <v>598</v>
      </c>
      <c r="K205">
        <v>5</v>
      </c>
      <c r="L205">
        <v>0</v>
      </c>
      <c r="M205">
        <v>0</v>
      </c>
      <c r="N205">
        <v>0</v>
      </c>
      <c r="O205">
        <v>1</v>
      </c>
      <c r="P205">
        <v>0</v>
      </c>
      <c r="Q205">
        <v>1</v>
      </c>
    </row>
    <row r="206" spans="1:19" hidden="1" x14ac:dyDescent="0.2">
      <c r="A206">
        <v>194</v>
      </c>
      <c r="B206" t="s">
        <v>43</v>
      </c>
      <c r="C206" t="s">
        <v>92</v>
      </c>
      <c r="D206" t="s">
        <v>594</v>
      </c>
      <c r="E206" t="s">
        <v>461</v>
      </c>
      <c r="F206" t="s">
        <v>599</v>
      </c>
      <c r="G206" t="s">
        <v>47</v>
      </c>
      <c r="H206" s="1">
        <v>45943</v>
      </c>
      <c r="I206" t="s">
        <v>48</v>
      </c>
      <c r="J206" t="s">
        <v>600</v>
      </c>
      <c r="K206">
        <v>5</v>
      </c>
      <c r="L206">
        <v>0</v>
      </c>
      <c r="M206">
        <v>0</v>
      </c>
      <c r="N206">
        <v>0</v>
      </c>
      <c r="O206">
        <v>1</v>
      </c>
      <c r="P206">
        <v>0</v>
      </c>
      <c r="Q206">
        <v>1</v>
      </c>
    </row>
    <row r="207" spans="1:19" hidden="1" x14ac:dyDescent="0.2">
      <c r="A207">
        <v>194</v>
      </c>
      <c r="B207" t="s">
        <v>43</v>
      </c>
      <c r="C207" t="s">
        <v>92</v>
      </c>
      <c r="D207" t="s">
        <v>594</v>
      </c>
      <c r="E207" t="s">
        <v>62</v>
      </c>
      <c r="F207" t="s">
        <v>393</v>
      </c>
      <c r="G207" t="s">
        <v>220</v>
      </c>
      <c r="H207" s="1">
        <v>45943</v>
      </c>
      <c r="I207" t="s">
        <v>48</v>
      </c>
      <c r="J207" t="s">
        <v>601</v>
      </c>
      <c r="K207">
        <v>5</v>
      </c>
      <c r="L207">
        <v>0</v>
      </c>
      <c r="M207">
        <v>0</v>
      </c>
      <c r="N207">
        <v>0</v>
      </c>
      <c r="O207">
        <v>1</v>
      </c>
      <c r="P207">
        <v>0</v>
      </c>
      <c r="Q207">
        <v>1</v>
      </c>
      <c r="R207" t="s">
        <v>214</v>
      </c>
      <c r="S207" t="s">
        <v>602</v>
      </c>
    </row>
    <row r="208" spans="1:19" hidden="1" x14ac:dyDescent="0.2">
      <c r="A208">
        <v>193</v>
      </c>
      <c r="B208" t="s">
        <v>13</v>
      </c>
      <c r="C208" t="s">
        <v>92</v>
      </c>
      <c r="D208" t="s">
        <v>586</v>
      </c>
      <c r="E208" t="s">
        <v>15</v>
      </c>
      <c r="F208" t="s">
        <v>169</v>
      </c>
      <c r="G208" t="s">
        <v>200</v>
      </c>
      <c r="H208" s="1">
        <v>45943</v>
      </c>
      <c r="I208" t="s">
        <v>18</v>
      </c>
      <c r="J208" t="s">
        <v>587</v>
      </c>
      <c r="K208">
        <v>5</v>
      </c>
      <c r="L208">
        <v>1</v>
      </c>
      <c r="M208">
        <v>0</v>
      </c>
      <c r="N208">
        <v>0</v>
      </c>
      <c r="O208">
        <v>1</v>
      </c>
      <c r="P208">
        <v>0</v>
      </c>
      <c r="Q208">
        <v>1</v>
      </c>
      <c r="R208" t="s">
        <v>214</v>
      </c>
      <c r="S208" t="s">
        <v>588</v>
      </c>
    </row>
    <row r="209" spans="1:19" hidden="1" x14ac:dyDescent="0.2">
      <c r="A209">
        <v>193</v>
      </c>
      <c r="B209" t="s">
        <v>13</v>
      </c>
      <c r="C209" t="s">
        <v>92</v>
      </c>
      <c r="D209" t="s">
        <v>586</v>
      </c>
      <c r="E209" t="s">
        <v>15</v>
      </c>
      <c r="F209" t="s">
        <v>508</v>
      </c>
      <c r="G209" t="s">
        <v>210</v>
      </c>
      <c r="H209" s="1">
        <v>45943</v>
      </c>
      <c r="I209" t="s">
        <v>18</v>
      </c>
      <c r="J209" t="s">
        <v>589</v>
      </c>
      <c r="K209">
        <v>5</v>
      </c>
      <c r="L209">
        <v>1</v>
      </c>
      <c r="M209">
        <v>0</v>
      </c>
      <c r="N209">
        <v>0</v>
      </c>
      <c r="O209">
        <v>1</v>
      </c>
      <c r="P209">
        <v>0</v>
      </c>
      <c r="Q209">
        <v>1</v>
      </c>
      <c r="R209" t="s">
        <v>329</v>
      </c>
      <c r="S209" t="s">
        <v>590</v>
      </c>
    </row>
    <row r="210" spans="1:19" hidden="1" x14ac:dyDescent="0.2">
      <c r="A210">
        <v>193</v>
      </c>
      <c r="B210" t="s">
        <v>13</v>
      </c>
      <c r="C210" t="s">
        <v>92</v>
      </c>
      <c r="D210" t="s">
        <v>586</v>
      </c>
      <c r="E210" t="s">
        <v>15</v>
      </c>
      <c r="F210" t="s">
        <v>508</v>
      </c>
      <c r="G210" t="s">
        <v>200</v>
      </c>
      <c r="H210" s="1">
        <v>45943</v>
      </c>
      <c r="I210" t="s">
        <v>18</v>
      </c>
      <c r="J210" t="s">
        <v>589</v>
      </c>
      <c r="K210">
        <v>5</v>
      </c>
      <c r="L210">
        <v>1</v>
      </c>
      <c r="M210">
        <v>0</v>
      </c>
      <c r="N210">
        <v>0</v>
      </c>
      <c r="O210">
        <v>1</v>
      </c>
      <c r="P210">
        <v>0</v>
      </c>
      <c r="Q210">
        <v>1</v>
      </c>
      <c r="R210" t="s">
        <v>202</v>
      </c>
      <c r="S210" t="s">
        <v>593</v>
      </c>
    </row>
    <row r="211" spans="1:19" hidden="1" x14ac:dyDescent="0.2">
      <c r="A211">
        <v>200</v>
      </c>
      <c r="B211" t="s">
        <v>106</v>
      </c>
      <c r="C211" t="s">
        <v>92</v>
      </c>
      <c r="D211" t="s">
        <v>640</v>
      </c>
      <c r="E211" t="s">
        <v>641</v>
      </c>
      <c r="F211" t="s">
        <v>642</v>
      </c>
      <c r="G211" t="s">
        <v>220</v>
      </c>
      <c r="H211" s="1">
        <v>45944</v>
      </c>
      <c r="I211" t="s">
        <v>548</v>
      </c>
      <c r="J211" t="s">
        <v>643</v>
      </c>
      <c r="K211">
        <v>5</v>
      </c>
      <c r="L211">
        <v>1</v>
      </c>
      <c r="M211">
        <v>1</v>
      </c>
      <c r="N211">
        <v>1</v>
      </c>
      <c r="O211">
        <v>1</v>
      </c>
      <c r="P211">
        <v>1</v>
      </c>
      <c r="Q211">
        <v>1</v>
      </c>
      <c r="R211" t="s">
        <v>606</v>
      </c>
      <c r="S211" t="s">
        <v>1262</v>
      </c>
    </row>
    <row r="212" spans="1:19" hidden="1" x14ac:dyDescent="0.2">
      <c r="A212">
        <v>199</v>
      </c>
      <c r="B212" t="s">
        <v>28</v>
      </c>
      <c r="C212" t="s">
        <v>92</v>
      </c>
      <c r="D212" t="s">
        <v>633</v>
      </c>
      <c r="E212" t="s">
        <v>15</v>
      </c>
      <c r="F212" t="s">
        <v>508</v>
      </c>
      <c r="G212" t="s">
        <v>17</v>
      </c>
      <c r="H212" s="1">
        <v>45944</v>
      </c>
      <c r="I212" t="s">
        <v>31</v>
      </c>
      <c r="J212" t="s">
        <v>634</v>
      </c>
      <c r="K212">
        <v>5</v>
      </c>
      <c r="L212">
        <v>1</v>
      </c>
      <c r="M212">
        <v>0</v>
      </c>
      <c r="N212">
        <v>0</v>
      </c>
      <c r="O212">
        <v>1</v>
      </c>
      <c r="P212">
        <v>0</v>
      </c>
      <c r="Q212">
        <v>1</v>
      </c>
    </row>
    <row r="213" spans="1:19" hidden="1" x14ac:dyDescent="0.2">
      <c r="A213">
        <v>199</v>
      </c>
      <c r="B213" t="s">
        <v>28</v>
      </c>
      <c r="C213" t="s">
        <v>92</v>
      </c>
      <c r="D213" t="s">
        <v>633</v>
      </c>
      <c r="E213" t="s">
        <v>15</v>
      </c>
      <c r="F213" t="s">
        <v>153</v>
      </c>
      <c r="G213" t="s">
        <v>210</v>
      </c>
      <c r="H213" s="1">
        <v>45944</v>
      </c>
      <c r="I213" t="s">
        <v>31</v>
      </c>
      <c r="J213" t="s">
        <v>635</v>
      </c>
      <c r="K213">
        <v>5</v>
      </c>
      <c r="L213">
        <v>1</v>
      </c>
      <c r="M213">
        <v>0</v>
      </c>
      <c r="N213">
        <v>0</v>
      </c>
      <c r="O213">
        <v>1</v>
      </c>
      <c r="P213">
        <v>0</v>
      </c>
      <c r="Q213">
        <v>1</v>
      </c>
      <c r="R213" t="s">
        <v>329</v>
      </c>
      <c r="S213" t="s">
        <v>636</v>
      </c>
    </row>
    <row r="214" spans="1:19" hidden="1" x14ac:dyDescent="0.2">
      <c r="A214">
        <v>199</v>
      </c>
      <c r="B214" t="s">
        <v>28</v>
      </c>
      <c r="C214" t="s">
        <v>92</v>
      </c>
      <c r="D214" t="s">
        <v>633</v>
      </c>
      <c r="E214" t="s">
        <v>15</v>
      </c>
      <c r="F214" t="s">
        <v>156</v>
      </c>
      <c r="G214" t="s">
        <v>210</v>
      </c>
      <c r="H214" s="1">
        <v>45944</v>
      </c>
      <c r="I214" t="s">
        <v>31</v>
      </c>
      <c r="J214" t="s">
        <v>635</v>
      </c>
      <c r="K214">
        <v>5</v>
      </c>
      <c r="L214">
        <v>1</v>
      </c>
      <c r="M214">
        <v>0</v>
      </c>
      <c r="N214">
        <v>0</v>
      </c>
      <c r="O214">
        <v>1</v>
      </c>
      <c r="P214">
        <v>0</v>
      </c>
      <c r="Q214">
        <v>1</v>
      </c>
      <c r="R214" t="s">
        <v>329</v>
      </c>
      <c r="S214" t="s">
        <v>636</v>
      </c>
    </row>
    <row r="215" spans="1:19" hidden="1" x14ac:dyDescent="0.2">
      <c r="A215">
        <v>198</v>
      </c>
      <c r="B215" t="s">
        <v>617</v>
      </c>
      <c r="C215" t="s">
        <v>92</v>
      </c>
      <c r="D215" t="s">
        <v>618</v>
      </c>
      <c r="E215" t="s">
        <v>619</v>
      </c>
      <c r="F215" t="s">
        <v>620</v>
      </c>
      <c r="G215" t="s">
        <v>47</v>
      </c>
      <c r="H215" s="1">
        <v>45944</v>
      </c>
      <c r="I215" t="s">
        <v>621</v>
      </c>
      <c r="J215" t="s">
        <v>622</v>
      </c>
      <c r="K215">
        <v>5</v>
      </c>
      <c r="L215">
        <v>1</v>
      </c>
      <c r="M215">
        <v>1</v>
      </c>
      <c r="N215">
        <v>1</v>
      </c>
      <c r="O215">
        <v>1</v>
      </c>
      <c r="P215">
        <v>1</v>
      </c>
      <c r="Q215">
        <v>1</v>
      </c>
    </row>
    <row r="216" spans="1:19" hidden="1" x14ac:dyDescent="0.2">
      <c r="A216">
        <v>198</v>
      </c>
      <c r="B216" t="s">
        <v>617</v>
      </c>
      <c r="C216" t="s">
        <v>92</v>
      </c>
      <c r="D216" t="s">
        <v>618</v>
      </c>
      <c r="E216" t="s">
        <v>619</v>
      </c>
      <c r="F216" t="s">
        <v>623</v>
      </c>
      <c r="G216" t="s">
        <v>47</v>
      </c>
      <c r="H216" s="1">
        <v>45944</v>
      </c>
      <c r="I216" t="s">
        <v>621</v>
      </c>
      <c r="J216" t="s">
        <v>624</v>
      </c>
      <c r="K216">
        <v>5</v>
      </c>
      <c r="L216">
        <v>1</v>
      </c>
      <c r="M216">
        <v>1</v>
      </c>
      <c r="N216">
        <v>1</v>
      </c>
      <c r="O216">
        <v>1</v>
      </c>
      <c r="P216">
        <v>1</v>
      </c>
      <c r="Q216">
        <v>1</v>
      </c>
    </row>
    <row r="217" spans="1:19" hidden="1" x14ac:dyDescent="0.2">
      <c r="A217">
        <v>198</v>
      </c>
      <c r="B217" t="s">
        <v>617</v>
      </c>
      <c r="C217" t="s">
        <v>92</v>
      </c>
      <c r="D217" t="s">
        <v>618</v>
      </c>
      <c r="E217" t="s">
        <v>619</v>
      </c>
      <c r="F217" t="s">
        <v>625</v>
      </c>
      <c r="G217" t="s">
        <v>47</v>
      </c>
      <c r="H217" s="1">
        <v>45944</v>
      </c>
      <c r="I217" t="s">
        <v>621</v>
      </c>
      <c r="J217" t="s">
        <v>626</v>
      </c>
      <c r="K217">
        <v>5</v>
      </c>
      <c r="L217">
        <v>1</v>
      </c>
      <c r="M217">
        <v>1</v>
      </c>
      <c r="N217">
        <v>1</v>
      </c>
      <c r="O217">
        <v>1</v>
      </c>
      <c r="P217">
        <v>1</v>
      </c>
      <c r="Q217">
        <v>1</v>
      </c>
    </row>
    <row r="218" spans="1:19" hidden="1" x14ac:dyDescent="0.2">
      <c r="A218">
        <v>198</v>
      </c>
      <c r="B218" t="s">
        <v>617</v>
      </c>
      <c r="C218" t="s">
        <v>92</v>
      </c>
      <c r="D218" t="s">
        <v>618</v>
      </c>
      <c r="E218" t="s">
        <v>619</v>
      </c>
      <c r="F218" t="s">
        <v>627</v>
      </c>
      <c r="G218" t="s">
        <v>47</v>
      </c>
      <c r="H218" s="1">
        <v>45944</v>
      </c>
      <c r="I218" t="s">
        <v>621</v>
      </c>
      <c r="J218" t="s">
        <v>628</v>
      </c>
      <c r="K218">
        <v>5</v>
      </c>
      <c r="L218">
        <v>1</v>
      </c>
      <c r="M218">
        <v>1</v>
      </c>
      <c r="N218">
        <v>1</v>
      </c>
      <c r="O218">
        <v>1</v>
      </c>
      <c r="P218">
        <v>1</v>
      </c>
      <c r="Q218">
        <v>1</v>
      </c>
    </row>
    <row r="219" spans="1:19" hidden="1" x14ac:dyDescent="0.2">
      <c r="A219">
        <v>198</v>
      </c>
      <c r="B219" t="s">
        <v>617</v>
      </c>
      <c r="C219" t="s">
        <v>92</v>
      </c>
      <c r="D219" t="s">
        <v>618</v>
      </c>
      <c r="E219" t="s">
        <v>619</v>
      </c>
      <c r="F219" t="s">
        <v>629</v>
      </c>
      <c r="G219" t="s">
        <v>47</v>
      </c>
      <c r="H219" s="1">
        <v>45944</v>
      </c>
      <c r="I219" t="s">
        <v>621</v>
      </c>
      <c r="J219" t="s">
        <v>630</v>
      </c>
      <c r="K219">
        <v>5</v>
      </c>
      <c r="L219">
        <v>1</v>
      </c>
      <c r="M219">
        <v>1</v>
      </c>
      <c r="N219">
        <v>1</v>
      </c>
      <c r="O219">
        <v>1</v>
      </c>
      <c r="P219">
        <v>1</v>
      </c>
      <c r="Q219">
        <v>1</v>
      </c>
    </row>
    <row r="220" spans="1:19" hidden="1" x14ac:dyDescent="0.2">
      <c r="A220">
        <v>198</v>
      </c>
      <c r="B220" t="s">
        <v>617</v>
      </c>
      <c r="C220" t="s">
        <v>92</v>
      </c>
      <c r="D220" t="s">
        <v>618</v>
      </c>
      <c r="E220" t="s">
        <v>619</v>
      </c>
      <c r="F220" t="s">
        <v>631</v>
      </c>
      <c r="G220" t="s">
        <v>47</v>
      </c>
      <c r="H220" s="1">
        <v>45944</v>
      </c>
      <c r="I220" t="s">
        <v>621</v>
      </c>
      <c r="J220" t="s">
        <v>632</v>
      </c>
      <c r="K220">
        <v>5</v>
      </c>
      <c r="L220">
        <v>1</v>
      </c>
      <c r="M220">
        <v>1</v>
      </c>
      <c r="N220">
        <v>1</v>
      </c>
      <c r="O220">
        <v>1</v>
      </c>
      <c r="P220">
        <v>1</v>
      </c>
      <c r="Q220">
        <v>1</v>
      </c>
    </row>
    <row r="221" spans="1:19" hidden="1" x14ac:dyDescent="0.2">
      <c r="A221">
        <v>196</v>
      </c>
      <c r="B221" t="s">
        <v>43</v>
      </c>
      <c r="C221" t="s">
        <v>92</v>
      </c>
      <c r="D221" t="s">
        <v>608</v>
      </c>
      <c r="E221" t="s">
        <v>62</v>
      </c>
      <c r="F221" t="s">
        <v>609</v>
      </c>
      <c r="G221" t="s">
        <v>17</v>
      </c>
      <c r="H221" s="1">
        <v>45944</v>
      </c>
      <c r="I221" t="s">
        <v>48</v>
      </c>
      <c r="J221" t="s">
        <v>610</v>
      </c>
      <c r="K221">
        <v>5</v>
      </c>
      <c r="L221">
        <v>0</v>
      </c>
      <c r="M221">
        <v>0</v>
      </c>
      <c r="N221">
        <v>0</v>
      </c>
      <c r="O221">
        <v>1</v>
      </c>
      <c r="P221">
        <v>0</v>
      </c>
      <c r="Q221">
        <v>1</v>
      </c>
    </row>
    <row r="222" spans="1:19" hidden="1" x14ac:dyDescent="0.2">
      <c r="A222">
        <v>196</v>
      </c>
      <c r="B222" t="s">
        <v>43</v>
      </c>
      <c r="C222" t="s">
        <v>92</v>
      </c>
      <c r="D222" t="s">
        <v>608</v>
      </c>
      <c r="E222" t="s">
        <v>611</v>
      </c>
      <c r="F222" t="s">
        <v>612</v>
      </c>
      <c r="G222" t="s">
        <v>17</v>
      </c>
      <c r="H222" s="1">
        <v>45944</v>
      </c>
      <c r="I222" t="s">
        <v>48</v>
      </c>
      <c r="J222" t="s">
        <v>613</v>
      </c>
      <c r="K222">
        <v>5</v>
      </c>
      <c r="L222">
        <v>0</v>
      </c>
      <c r="M222">
        <v>0</v>
      </c>
      <c r="N222">
        <v>0</v>
      </c>
      <c r="O222">
        <v>1</v>
      </c>
      <c r="P222">
        <v>0</v>
      </c>
      <c r="Q222">
        <v>1</v>
      </c>
    </row>
    <row r="223" spans="1:19" hidden="1" x14ac:dyDescent="0.2">
      <c r="A223">
        <v>196</v>
      </c>
      <c r="B223" t="s">
        <v>43</v>
      </c>
      <c r="C223" t="s">
        <v>92</v>
      </c>
      <c r="D223" t="s">
        <v>608</v>
      </c>
      <c r="E223" t="s">
        <v>596</v>
      </c>
      <c r="F223" t="s">
        <v>614</v>
      </c>
      <c r="G223" t="s">
        <v>17</v>
      </c>
      <c r="H223" s="1">
        <v>45944</v>
      </c>
      <c r="I223" t="s">
        <v>48</v>
      </c>
      <c r="J223" t="s">
        <v>615</v>
      </c>
      <c r="K223">
        <v>5</v>
      </c>
      <c r="L223">
        <v>0</v>
      </c>
      <c r="M223">
        <v>0</v>
      </c>
      <c r="N223">
        <v>0</v>
      </c>
      <c r="O223">
        <v>1</v>
      </c>
      <c r="P223">
        <v>0</v>
      </c>
      <c r="Q223">
        <v>1</v>
      </c>
    </row>
    <row r="224" spans="1:19" hidden="1" x14ac:dyDescent="0.2">
      <c r="A224">
        <v>196</v>
      </c>
      <c r="B224" t="s">
        <v>43</v>
      </c>
      <c r="C224" t="s">
        <v>92</v>
      </c>
      <c r="D224" t="s">
        <v>608</v>
      </c>
      <c r="E224" t="s">
        <v>461</v>
      </c>
      <c r="F224" t="s">
        <v>616</v>
      </c>
      <c r="G224" t="s">
        <v>17</v>
      </c>
      <c r="H224" s="1">
        <v>45944</v>
      </c>
      <c r="I224" t="s">
        <v>48</v>
      </c>
      <c r="J224" t="s">
        <v>615</v>
      </c>
      <c r="K224">
        <v>5</v>
      </c>
      <c r="L224">
        <v>0</v>
      </c>
      <c r="M224">
        <v>0</v>
      </c>
      <c r="N224">
        <v>0</v>
      </c>
      <c r="O224">
        <v>1</v>
      </c>
      <c r="P224">
        <v>0</v>
      </c>
      <c r="Q224">
        <v>1</v>
      </c>
    </row>
    <row r="225" spans="1:19" hidden="1" x14ac:dyDescent="0.2">
      <c r="A225">
        <v>205</v>
      </c>
      <c r="B225" t="s">
        <v>28</v>
      </c>
      <c r="C225" t="s">
        <v>92</v>
      </c>
      <c r="D225" t="s">
        <v>667</v>
      </c>
      <c r="E225" t="s">
        <v>96</v>
      </c>
      <c r="F225" t="s">
        <v>97</v>
      </c>
      <c r="G225" t="s">
        <v>17</v>
      </c>
      <c r="H225" s="1">
        <v>45945</v>
      </c>
      <c r="I225" t="s">
        <v>31</v>
      </c>
      <c r="J225" t="s">
        <v>668</v>
      </c>
      <c r="K225">
        <v>5</v>
      </c>
      <c r="L225">
        <v>1</v>
      </c>
      <c r="M225">
        <v>0</v>
      </c>
      <c r="N225">
        <v>0</v>
      </c>
      <c r="O225">
        <v>1</v>
      </c>
      <c r="P225">
        <v>0</v>
      </c>
      <c r="Q225">
        <v>1</v>
      </c>
    </row>
    <row r="226" spans="1:19" hidden="1" x14ac:dyDescent="0.2">
      <c r="A226">
        <v>205</v>
      </c>
      <c r="B226" t="s">
        <v>28</v>
      </c>
      <c r="C226" t="s">
        <v>92</v>
      </c>
      <c r="D226" t="s">
        <v>667</v>
      </c>
      <c r="E226" t="s">
        <v>96</v>
      </c>
      <c r="F226" t="s">
        <v>97</v>
      </c>
      <c r="G226" t="s">
        <v>36</v>
      </c>
      <c r="H226" s="1">
        <v>45945</v>
      </c>
      <c r="I226" t="s">
        <v>31</v>
      </c>
      <c r="J226" t="s">
        <v>668</v>
      </c>
      <c r="K226">
        <v>5</v>
      </c>
      <c r="L226">
        <v>1</v>
      </c>
      <c r="M226">
        <v>0</v>
      </c>
      <c r="N226">
        <v>0</v>
      </c>
      <c r="O226">
        <v>1</v>
      </c>
      <c r="P226">
        <v>0</v>
      </c>
      <c r="Q226">
        <v>1</v>
      </c>
    </row>
    <row r="227" spans="1:19" hidden="1" x14ac:dyDescent="0.2">
      <c r="A227">
        <v>205</v>
      </c>
      <c r="B227" t="s">
        <v>28</v>
      </c>
      <c r="C227" t="s">
        <v>92</v>
      </c>
      <c r="D227" t="s">
        <v>667</v>
      </c>
      <c r="E227" t="s">
        <v>15</v>
      </c>
      <c r="F227" t="s">
        <v>508</v>
      </c>
      <c r="G227" t="s">
        <v>210</v>
      </c>
      <c r="H227" s="1">
        <v>45945</v>
      </c>
      <c r="I227" t="s">
        <v>31</v>
      </c>
      <c r="J227" t="s">
        <v>669</v>
      </c>
      <c r="K227">
        <v>5</v>
      </c>
      <c r="L227">
        <v>1</v>
      </c>
      <c r="M227">
        <v>0</v>
      </c>
      <c r="N227">
        <v>0</v>
      </c>
      <c r="O227">
        <v>1</v>
      </c>
      <c r="P227">
        <v>0</v>
      </c>
      <c r="Q227">
        <v>1</v>
      </c>
      <c r="R227" t="s">
        <v>329</v>
      </c>
      <c r="S227" t="s">
        <v>636</v>
      </c>
    </row>
    <row r="228" spans="1:19" hidden="1" x14ac:dyDescent="0.2">
      <c r="A228">
        <v>205</v>
      </c>
      <c r="B228" t="s">
        <v>28</v>
      </c>
      <c r="C228" t="s">
        <v>92</v>
      </c>
      <c r="D228" t="s">
        <v>667</v>
      </c>
      <c r="E228" t="s">
        <v>15</v>
      </c>
      <c r="F228" t="s">
        <v>165</v>
      </c>
      <c r="G228" t="s">
        <v>210</v>
      </c>
      <c r="H228" s="1">
        <v>45945</v>
      </c>
      <c r="I228" t="s">
        <v>31</v>
      </c>
      <c r="J228" t="s">
        <v>669</v>
      </c>
      <c r="K228">
        <v>5</v>
      </c>
      <c r="L228">
        <v>1</v>
      </c>
      <c r="M228">
        <v>0</v>
      </c>
      <c r="N228">
        <v>0</v>
      </c>
      <c r="O228">
        <v>1</v>
      </c>
      <c r="P228">
        <v>0</v>
      </c>
      <c r="Q228">
        <v>1</v>
      </c>
      <c r="R228" t="s">
        <v>329</v>
      </c>
      <c r="S228" t="s">
        <v>636</v>
      </c>
    </row>
    <row r="229" spans="1:19" hidden="1" x14ac:dyDescent="0.2">
      <c r="A229">
        <v>204</v>
      </c>
      <c r="B229" t="s">
        <v>106</v>
      </c>
      <c r="C229" t="s">
        <v>92</v>
      </c>
      <c r="D229" t="s">
        <v>664</v>
      </c>
      <c r="E229" t="s">
        <v>546</v>
      </c>
      <c r="F229" t="s">
        <v>547</v>
      </c>
      <c r="G229" t="s">
        <v>220</v>
      </c>
      <c r="H229" s="1">
        <v>45945</v>
      </c>
      <c r="I229" t="s">
        <v>548</v>
      </c>
      <c r="J229" t="s">
        <v>665</v>
      </c>
      <c r="K229">
        <v>5</v>
      </c>
      <c r="L229">
        <v>1</v>
      </c>
      <c r="M229">
        <v>1</v>
      </c>
      <c r="N229">
        <v>1</v>
      </c>
      <c r="O229">
        <v>1</v>
      </c>
      <c r="P229">
        <v>1</v>
      </c>
      <c r="Q229">
        <v>1</v>
      </c>
      <c r="R229" t="s">
        <v>606</v>
      </c>
      <c r="S229" t="s">
        <v>1262</v>
      </c>
    </row>
    <row r="230" spans="1:19" ht="304" hidden="1" x14ac:dyDescent="0.2">
      <c r="A230">
        <v>202</v>
      </c>
      <c r="B230" t="s">
        <v>43</v>
      </c>
      <c r="C230" t="s">
        <v>92</v>
      </c>
      <c r="D230" t="s">
        <v>655</v>
      </c>
      <c r="E230" t="s">
        <v>461</v>
      </c>
      <c r="F230" t="s">
        <v>656</v>
      </c>
      <c r="G230" t="s">
        <v>17</v>
      </c>
      <c r="H230" s="1">
        <v>45945</v>
      </c>
      <c r="I230" t="s">
        <v>48</v>
      </c>
      <c r="J230" s="3" t="s">
        <v>657</v>
      </c>
      <c r="K230">
        <v>5</v>
      </c>
      <c r="L230">
        <v>0</v>
      </c>
      <c r="M230">
        <v>0</v>
      </c>
      <c r="N230">
        <v>0</v>
      </c>
      <c r="O230">
        <v>1</v>
      </c>
      <c r="P230">
        <v>0</v>
      </c>
      <c r="Q230">
        <v>1</v>
      </c>
    </row>
    <row r="231" spans="1:19" hidden="1" x14ac:dyDescent="0.2">
      <c r="A231">
        <v>202</v>
      </c>
      <c r="B231" t="s">
        <v>43</v>
      </c>
      <c r="C231" t="s">
        <v>92</v>
      </c>
      <c r="D231" t="s">
        <v>655</v>
      </c>
      <c r="E231" t="s">
        <v>658</v>
      </c>
      <c r="F231" t="s">
        <v>659</v>
      </c>
      <c r="G231" t="s">
        <v>220</v>
      </c>
      <c r="H231" s="1">
        <v>45945</v>
      </c>
      <c r="I231" t="s">
        <v>48</v>
      </c>
      <c r="J231" t="s">
        <v>660</v>
      </c>
      <c r="K231">
        <v>5</v>
      </c>
      <c r="L231">
        <v>0</v>
      </c>
      <c r="M231">
        <v>0</v>
      </c>
      <c r="N231">
        <v>0</v>
      </c>
      <c r="O231">
        <v>1</v>
      </c>
      <c r="P231">
        <v>0</v>
      </c>
      <c r="Q231">
        <v>1</v>
      </c>
      <c r="R231" t="s">
        <v>606</v>
      </c>
      <c r="S231" t="s">
        <v>326</v>
      </c>
    </row>
    <row r="232" spans="1:19" hidden="1" x14ac:dyDescent="0.2">
      <c r="A232">
        <v>202</v>
      </c>
      <c r="B232" t="s">
        <v>43</v>
      </c>
      <c r="C232" t="s">
        <v>92</v>
      </c>
      <c r="D232" t="s">
        <v>655</v>
      </c>
      <c r="E232" t="s">
        <v>596</v>
      </c>
      <c r="F232" t="s">
        <v>616</v>
      </c>
      <c r="G232" t="s">
        <v>220</v>
      </c>
      <c r="H232" s="1">
        <v>45945</v>
      </c>
      <c r="I232" t="s">
        <v>48</v>
      </c>
      <c r="J232" t="s">
        <v>662</v>
      </c>
      <c r="K232">
        <v>5</v>
      </c>
      <c r="L232">
        <v>0</v>
      </c>
      <c r="M232">
        <v>0</v>
      </c>
      <c r="N232">
        <v>0</v>
      </c>
      <c r="O232">
        <v>1</v>
      </c>
      <c r="P232">
        <v>0</v>
      </c>
      <c r="Q232">
        <v>1</v>
      </c>
      <c r="R232" t="s">
        <v>606</v>
      </c>
      <c r="S232" t="s">
        <v>326</v>
      </c>
    </row>
    <row r="233" spans="1:19" hidden="1" x14ac:dyDescent="0.2">
      <c r="A233">
        <v>202</v>
      </c>
      <c r="B233" t="s">
        <v>43</v>
      </c>
      <c r="C233" t="s">
        <v>92</v>
      </c>
      <c r="D233" t="s">
        <v>655</v>
      </c>
      <c r="E233" t="s">
        <v>461</v>
      </c>
      <c r="F233" t="s">
        <v>614</v>
      </c>
      <c r="G233" t="s">
        <v>220</v>
      </c>
      <c r="H233" s="1">
        <v>45945</v>
      </c>
      <c r="I233" t="s">
        <v>48</v>
      </c>
      <c r="J233" t="s">
        <v>663</v>
      </c>
      <c r="K233">
        <v>5</v>
      </c>
      <c r="L233">
        <v>0</v>
      </c>
      <c r="M233">
        <v>0</v>
      </c>
      <c r="N233">
        <v>0</v>
      </c>
      <c r="O233">
        <v>1</v>
      </c>
      <c r="P233">
        <v>0</v>
      </c>
      <c r="Q233">
        <v>1</v>
      </c>
      <c r="R233" t="s">
        <v>606</v>
      </c>
      <c r="S233" t="s">
        <v>326</v>
      </c>
    </row>
    <row r="234" spans="1:19" hidden="1" x14ac:dyDescent="0.2">
      <c r="A234">
        <v>201</v>
      </c>
      <c r="B234" t="s">
        <v>22</v>
      </c>
      <c r="C234" t="s">
        <v>92</v>
      </c>
      <c r="D234" t="s">
        <v>645</v>
      </c>
      <c r="E234" t="s">
        <v>24</v>
      </c>
      <c r="F234" t="s">
        <v>646</v>
      </c>
      <c r="G234" t="s">
        <v>17</v>
      </c>
      <c r="H234" s="1">
        <v>45945</v>
      </c>
      <c r="I234" t="s">
        <v>647</v>
      </c>
      <c r="J234" t="s">
        <v>648</v>
      </c>
      <c r="K234">
        <v>5</v>
      </c>
      <c r="L234">
        <v>1</v>
      </c>
      <c r="M234">
        <v>1</v>
      </c>
      <c r="N234">
        <v>1</v>
      </c>
      <c r="O234">
        <v>1</v>
      </c>
      <c r="P234">
        <v>1</v>
      </c>
      <c r="Q234">
        <v>1</v>
      </c>
    </row>
    <row r="235" spans="1:19" hidden="1" x14ac:dyDescent="0.2">
      <c r="A235">
        <v>201</v>
      </c>
      <c r="B235" t="s">
        <v>22</v>
      </c>
      <c r="C235" t="s">
        <v>92</v>
      </c>
      <c r="D235" t="s">
        <v>645</v>
      </c>
      <c r="E235" t="s">
        <v>24</v>
      </c>
      <c r="F235" t="s">
        <v>649</v>
      </c>
      <c r="G235" t="s">
        <v>17</v>
      </c>
      <c r="H235" s="1">
        <v>45945</v>
      </c>
      <c r="I235" t="s">
        <v>647</v>
      </c>
      <c r="J235" t="s">
        <v>650</v>
      </c>
      <c r="K235">
        <v>5</v>
      </c>
      <c r="L235">
        <v>1</v>
      </c>
      <c r="M235">
        <v>1</v>
      </c>
      <c r="N235">
        <v>1</v>
      </c>
      <c r="O235">
        <v>1</v>
      </c>
      <c r="P235">
        <v>1</v>
      </c>
      <c r="Q235">
        <v>1</v>
      </c>
    </row>
    <row r="236" spans="1:19" hidden="1" x14ac:dyDescent="0.2">
      <c r="A236">
        <v>201</v>
      </c>
      <c r="B236" t="s">
        <v>22</v>
      </c>
      <c r="C236" t="s">
        <v>92</v>
      </c>
      <c r="D236" t="s">
        <v>645</v>
      </c>
      <c r="E236" t="s">
        <v>24</v>
      </c>
      <c r="F236" t="s">
        <v>646</v>
      </c>
      <c r="G236" t="s">
        <v>200</v>
      </c>
      <c r="H236" s="1">
        <v>45945</v>
      </c>
      <c r="I236" t="s">
        <v>647</v>
      </c>
      <c r="J236" t="s">
        <v>648</v>
      </c>
      <c r="K236">
        <v>5</v>
      </c>
      <c r="L236">
        <v>1</v>
      </c>
      <c r="M236">
        <v>1</v>
      </c>
      <c r="N236">
        <v>1</v>
      </c>
      <c r="O236">
        <v>1</v>
      </c>
      <c r="P236">
        <v>1</v>
      </c>
      <c r="Q236">
        <v>1</v>
      </c>
      <c r="R236" t="s">
        <v>651</v>
      </c>
      <c r="S236" t="s">
        <v>652</v>
      </c>
    </row>
    <row r="237" spans="1:19" hidden="1" x14ac:dyDescent="0.2">
      <c r="A237">
        <v>201</v>
      </c>
      <c r="B237" t="s">
        <v>22</v>
      </c>
      <c r="C237" t="s">
        <v>92</v>
      </c>
      <c r="D237" t="s">
        <v>645</v>
      </c>
      <c r="E237" t="s">
        <v>24</v>
      </c>
      <c r="F237" t="s">
        <v>649</v>
      </c>
      <c r="G237" t="s">
        <v>210</v>
      </c>
      <c r="H237" s="1">
        <v>45945</v>
      </c>
      <c r="I237" t="s">
        <v>647</v>
      </c>
      <c r="J237" t="s">
        <v>650</v>
      </c>
      <c r="K237">
        <v>5</v>
      </c>
      <c r="L237">
        <v>1</v>
      </c>
      <c r="M237">
        <v>1</v>
      </c>
      <c r="N237">
        <v>1</v>
      </c>
      <c r="O237">
        <v>1</v>
      </c>
      <c r="P237">
        <v>1</v>
      </c>
      <c r="Q237">
        <v>1</v>
      </c>
      <c r="R237" t="s">
        <v>651</v>
      </c>
      <c r="S237" t="s">
        <v>652</v>
      </c>
    </row>
    <row r="238" spans="1:19" hidden="1" x14ac:dyDescent="0.2">
      <c r="A238">
        <v>209</v>
      </c>
      <c r="B238" t="s">
        <v>106</v>
      </c>
      <c r="C238" t="s">
        <v>92</v>
      </c>
      <c r="D238" t="s">
        <v>684</v>
      </c>
      <c r="E238" t="s">
        <v>546</v>
      </c>
      <c r="F238" t="s">
        <v>547</v>
      </c>
      <c r="G238" t="s">
        <v>220</v>
      </c>
      <c r="H238" s="1">
        <v>45946</v>
      </c>
      <c r="I238" t="s">
        <v>548</v>
      </c>
      <c r="J238" t="s">
        <v>685</v>
      </c>
      <c r="K238">
        <v>5</v>
      </c>
      <c r="L238">
        <v>1</v>
      </c>
      <c r="M238">
        <v>1</v>
      </c>
      <c r="N238">
        <v>1</v>
      </c>
      <c r="O238">
        <v>1</v>
      </c>
      <c r="P238">
        <v>1</v>
      </c>
      <c r="Q238">
        <v>1</v>
      </c>
      <c r="R238" t="s">
        <v>606</v>
      </c>
      <c r="S238" t="s">
        <v>1262</v>
      </c>
    </row>
    <row r="239" spans="1:19" hidden="1" x14ac:dyDescent="0.2">
      <c r="A239">
        <v>207</v>
      </c>
      <c r="B239" t="s">
        <v>43</v>
      </c>
      <c r="C239" t="s">
        <v>92</v>
      </c>
      <c r="D239" t="s">
        <v>679</v>
      </c>
      <c r="E239" t="s">
        <v>680</v>
      </c>
      <c r="F239" t="s">
        <v>681</v>
      </c>
      <c r="G239" t="s">
        <v>47</v>
      </c>
      <c r="H239" s="1">
        <v>45946</v>
      </c>
      <c r="I239" t="s">
        <v>149</v>
      </c>
      <c r="J239" t="s">
        <v>682</v>
      </c>
      <c r="K239">
        <v>5</v>
      </c>
      <c r="L239">
        <v>0</v>
      </c>
      <c r="M239">
        <v>0</v>
      </c>
      <c r="N239">
        <v>0</v>
      </c>
      <c r="O239">
        <v>1</v>
      </c>
      <c r="P239">
        <v>0</v>
      </c>
      <c r="Q239">
        <v>1</v>
      </c>
    </row>
    <row r="240" spans="1:19" hidden="1" x14ac:dyDescent="0.2">
      <c r="A240">
        <v>207</v>
      </c>
      <c r="B240" t="s">
        <v>43</v>
      </c>
      <c r="C240" t="s">
        <v>92</v>
      </c>
      <c r="D240" t="s">
        <v>679</v>
      </c>
      <c r="E240" t="s">
        <v>62</v>
      </c>
      <c r="F240" t="s">
        <v>438</v>
      </c>
      <c r="G240" t="s">
        <v>220</v>
      </c>
      <c r="H240" s="1">
        <v>45946</v>
      </c>
      <c r="I240" t="s">
        <v>149</v>
      </c>
      <c r="J240" t="s">
        <v>683</v>
      </c>
      <c r="K240">
        <v>5</v>
      </c>
      <c r="L240">
        <v>0</v>
      </c>
      <c r="M240">
        <v>0</v>
      </c>
      <c r="N240">
        <v>0</v>
      </c>
      <c r="O240">
        <v>1</v>
      </c>
      <c r="P240">
        <v>0</v>
      </c>
      <c r="Q240">
        <v>1</v>
      </c>
      <c r="R240" t="s">
        <v>202</v>
      </c>
      <c r="S240" t="s">
        <v>326</v>
      </c>
    </row>
    <row r="241" spans="1:21" hidden="1" x14ac:dyDescent="0.2">
      <c r="A241">
        <v>206</v>
      </c>
      <c r="B241" t="s">
        <v>22</v>
      </c>
      <c r="C241" t="s">
        <v>92</v>
      </c>
      <c r="D241" t="s">
        <v>674</v>
      </c>
      <c r="E241" t="s">
        <v>675</v>
      </c>
      <c r="F241" t="s">
        <v>676</v>
      </c>
      <c r="G241" t="s">
        <v>17</v>
      </c>
      <c r="H241" s="1">
        <v>45946</v>
      </c>
      <c r="I241" t="s">
        <v>677</v>
      </c>
      <c r="J241" t="s">
        <v>678</v>
      </c>
      <c r="K241">
        <v>5</v>
      </c>
      <c r="L241">
        <v>1</v>
      </c>
      <c r="M241">
        <v>1</v>
      </c>
      <c r="N241">
        <v>1</v>
      </c>
      <c r="O241">
        <v>1</v>
      </c>
      <c r="P241">
        <v>1</v>
      </c>
      <c r="Q241">
        <v>1</v>
      </c>
    </row>
    <row r="242" spans="1:21" hidden="1" x14ac:dyDescent="0.2">
      <c r="A242">
        <v>206</v>
      </c>
      <c r="B242" t="s">
        <v>22</v>
      </c>
      <c r="C242" t="s">
        <v>92</v>
      </c>
      <c r="D242" t="s">
        <v>674</v>
      </c>
      <c r="E242" t="s">
        <v>675</v>
      </c>
      <c r="F242" t="s">
        <v>676</v>
      </c>
      <c r="G242" t="s">
        <v>55</v>
      </c>
      <c r="H242" s="1">
        <v>45946</v>
      </c>
      <c r="I242" t="s">
        <v>677</v>
      </c>
      <c r="J242" t="s">
        <v>678</v>
      </c>
      <c r="K242">
        <v>5</v>
      </c>
      <c r="L242">
        <v>1</v>
      </c>
      <c r="M242">
        <v>1</v>
      </c>
      <c r="N242">
        <v>1</v>
      </c>
      <c r="O242">
        <v>1</v>
      </c>
      <c r="P242">
        <v>1</v>
      </c>
      <c r="Q242">
        <v>1</v>
      </c>
    </row>
    <row r="243" spans="1:21" hidden="1" x14ac:dyDescent="0.2">
      <c r="A243">
        <v>214</v>
      </c>
      <c r="B243" t="s">
        <v>22</v>
      </c>
      <c r="C243" t="s">
        <v>92</v>
      </c>
      <c r="D243" t="s">
        <v>694</v>
      </c>
      <c r="E243" t="s">
        <v>695</v>
      </c>
      <c r="F243" t="s">
        <v>696</v>
      </c>
      <c r="G243" t="s">
        <v>17</v>
      </c>
      <c r="H243" s="1">
        <v>45947</v>
      </c>
      <c r="I243" t="s">
        <v>539</v>
      </c>
      <c r="J243" t="s">
        <v>697</v>
      </c>
      <c r="K243">
        <v>5</v>
      </c>
      <c r="L243">
        <v>1</v>
      </c>
      <c r="M243">
        <v>1</v>
      </c>
      <c r="N243">
        <v>1</v>
      </c>
      <c r="O243">
        <v>1</v>
      </c>
      <c r="P243">
        <v>1</v>
      </c>
      <c r="Q243">
        <v>1</v>
      </c>
    </row>
    <row r="244" spans="1:21" hidden="1" x14ac:dyDescent="0.2">
      <c r="A244">
        <v>213</v>
      </c>
      <c r="B244" t="s">
        <v>28</v>
      </c>
      <c r="C244" t="s">
        <v>92</v>
      </c>
      <c r="D244" t="s">
        <v>584</v>
      </c>
      <c r="E244" t="s">
        <v>15</v>
      </c>
      <c r="F244" t="s">
        <v>1262</v>
      </c>
      <c r="G244" t="s">
        <v>17</v>
      </c>
      <c r="H244" s="1">
        <v>45947</v>
      </c>
      <c r="I244" t="s">
        <v>692</v>
      </c>
      <c r="J244" t="s">
        <v>693</v>
      </c>
      <c r="K244">
        <v>5</v>
      </c>
      <c r="L244">
        <v>1</v>
      </c>
      <c r="M244">
        <v>1</v>
      </c>
      <c r="N244">
        <v>1</v>
      </c>
      <c r="O244">
        <v>1</v>
      </c>
      <c r="P244">
        <v>0</v>
      </c>
      <c r="Q244">
        <v>1</v>
      </c>
    </row>
    <row r="245" spans="1:21" ht="409.6" hidden="1" x14ac:dyDescent="0.2">
      <c r="A245">
        <v>212</v>
      </c>
      <c r="B245" t="s">
        <v>106</v>
      </c>
      <c r="C245" t="s">
        <v>92</v>
      </c>
      <c r="D245" t="s">
        <v>690</v>
      </c>
      <c r="E245" t="s">
        <v>546</v>
      </c>
      <c r="F245" t="s">
        <v>547</v>
      </c>
      <c r="G245" t="s">
        <v>220</v>
      </c>
      <c r="H245" s="1">
        <v>45947</v>
      </c>
      <c r="I245" t="s">
        <v>548</v>
      </c>
      <c r="J245" s="3" t="s">
        <v>1263</v>
      </c>
      <c r="K245">
        <v>5</v>
      </c>
      <c r="L245">
        <v>1</v>
      </c>
      <c r="M245">
        <v>1</v>
      </c>
      <c r="N245">
        <v>1</v>
      </c>
      <c r="O245">
        <v>1</v>
      </c>
      <c r="P245">
        <v>1</v>
      </c>
      <c r="Q245">
        <v>1</v>
      </c>
      <c r="R245" t="s">
        <v>606</v>
      </c>
      <c r="S245" t="s">
        <v>1262</v>
      </c>
    </row>
    <row r="246" spans="1:21" hidden="1" x14ac:dyDescent="0.2">
      <c r="A246">
        <v>210</v>
      </c>
      <c r="B246" t="s">
        <v>43</v>
      </c>
      <c r="C246" t="s">
        <v>92</v>
      </c>
      <c r="D246" t="s">
        <v>687</v>
      </c>
      <c r="E246" t="s">
        <v>91</v>
      </c>
      <c r="F246" t="s">
        <v>92</v>
      </c>
      <c r="G246" t="s">
        <v>220</v>
      </c>
      <c r="H246" s="1">
        <v>45947</v>
      </c>
      <c r="I246" t="s">
        <v>48</v>
      </c>
      <c r="J246" t="s">
        <v>688</v>
      </c>
      <c r="K246">
        <v>5</v>
      </c>
      <c r="L246">
        <v>0</v>
      </c>
      <c r="M246">
        <v>0</v>
      </c>
      <c r="N246">
        <v>0</v>
      </c>
      <c r="O246">
        <v>1</v>
      </c>
      <c r="P246">
        <v>0</v>
      </c>
      <c r="Q246">
        <v>1</v>
      </c>
      <c r="R246" t="s">
        <v>222</v>
      </c>
      <c r="S246" t="s">
        <v>689</v>
      </c>
    </row>
    <row r="247" spans="1:21" hidden="1" x14ac:dyDescent="0.2">
      <c r="A247">
        <v>217</v>
      </c>
      <c r="B247" t="s">
        <v>125</v>
      </c>
      <c r="C247" t="s">
        <v>92</v>
      </c>
      <c r="D247" t="s">
        <v>50</v>
      </c>
      <c r="E247" t="s">
        <v>15</v>
      </c>
      <c r="F247" t="s">
        <v>505</v>
      </c>
      <c r="G247" t="s">
        <v>17</v>
      </c>
      <c r="H247" s="1">
        <v>45950</v>
      </c>
      <c r="I247" t="s">
        <v>701</v>
      </c>
      <c r="J247" t="s">
        <v>702</v>
      </c>
      <c r="K247">
        <v>5</v>
      </c>
      <c r="L247">
        <v>1</v>
      </c>
      <c r="M247">
        <v>1</v>
      </c>
      <c r="N247">
        <v>0</v>
      </c>
      <c r="O247">
        <v>0</v>
      </c>
      <c r="P247">
        <v>0</v>
      </c>
      <c r="Q247">
        <v>1</v>
      </c>
    </row>
    <row r="248" spans="1:21" hidden="1" x14ac:dyDescent="0.2">
      <c r="A248">
        <v>217</v>
      </c>
      <c r="B248" t="s">
        <v>125</v>
      </c>
      <c r="C248" t="s">
        <v>92</v>
      </c>
      <c r="D248" t="s">
        <v>50</v>
      </c>
      <c r="E248" t="s">
        <v>15</v>
      </c>
      <c r="F248" t="s">
        <v>199</v>
      </c>
      <c r="G248" t="s">
        <v>17</v>
      </c>
      <c r="H248" s="1">
        <v>45950</v>
      </c>
      <c r="I248" t="s">
        <v>701</v>
      </c>
      <c r="J248" t="s">
        <v>703</v>
      </c>
      <c r="K248">
        <v>5</v>
      </c>
      <c r="L248">
        <v>1</v>
      </c>
      <c r="M248">
        <v>1</v>
      </c>
      <c r="N248">
        <v>0</v>
      </c>
      <c r="O248">
        <v>0</v>
      </c>
      <c r="P248">
        <v>0</v>
      </c>
      <c r="Q248">
        <v>1</v>
      </c>
    </row>
    <row r="249" spans="1:21" hidden="1" x14ac:dyDescent="0.2">
      <c r="A249">
        <v>217</v>
      </c>
      <c r="B249" t="s">
        <v>125</v>
      </c>
      <c r="C249" t="s">
        <v>92</v>
      </c>
      <c r="D249" t="s">
        <v>50</v>
      </c>
      <c r="E249" t="s">
        <v>15</v>
      </c>
      <c r="F249" t="s">
        <v>206</v>
      </c>
      <c r="G249" t="s">
        <v>17</v>
      </c>
      <c r="H249" s="1">
        <v>45950</v>
      </c>
      <c r="I249" t="s">
        <v>701</v>
      </c>
      <c r="J249" t="s">
        <v>703</v>
      </c>
      <c r="K249">
        <v>5</v>
      </c>
      <c r="L249">
        <v>1</v>
      </c>
      <c r="M249">
        <v>1</v>
      </c>
      <c r="N249">
        <v>0</v>
      </c>
      <c r="O249">
        <v>0</v>
      </c>
      <c r="P249">
        <v>0</v>
      </c>
      <c r="Q249">
        <v>1</v>
      </c>
    </row>
    <row r="250" spans="1:21" hidden="1" x14ac:dyDescent="0.2">
      <c r="A250">
        <v>217</v>
      </c>
      <c r="B250" t="s">
        <v>125</v>
      </c>
      <c r="C250" t="s">
        <v>92</v>
      </c>
      <c r="D250" t="s">
        <v>50</v>
      </c>
      <c r="E250" t="s">
        <v>15</v>
      </c>
      <c r="F250" t="s">
        <v>704</v>
      </c>
      <c r="G250" t="s">
        <v>17</v>
      </c>
      <c r="H250" s="1">
        <v>45950</v>
      </c>
      <c r="I250" t="s">
        <v>701</v>
      </c>
      <c r="J250" t="s">
        <v>705</v>
      </c>
      <c r="K250">
        <v>5</v>
      </c>
      <c r="L250">
        <v>1</v>
      </c>
      <c r="M250">
        <v>1</v>
      </c>
      <c r="N250">
        <v>0</v>
      </c>
      <c r="O250">
        <v>0</v>
      </c>
      <c r="P250">
        <v>0</v>
      </c>
      <c r="Q250">
        <v>1</v>
      </c>
    </row>
    <row r="251" spans="1:21" hidden="1" x14ac:dyDescent="0.2">
      <c r="A251">
        <v>217</v>
      </c>
      <c r="B251" t="s">
        <v>125</v>
      </c>
      <c r="C251" t="s">
        <v>92</v>
      </c>
      <c r="D251" t="s">
        <v>50</v>
      </c>
      <c r="E251" t="s">
        <v>15</v>
      </c>
      <c r="F251" t="s">
        <v>316</v>
      </c>
      <c r="G251" t="s">
        <v>17</v>
      </c>
      <c r="H251" s="1">
        <v>45950</v>
      </c>
      <c r="I251" t="s">
        <v>701</v>
      </c>
      <c r="J251" t="s">
        <v>706</v>
      </c>
      <c r="K251">
        <v>5</v>
      </c>
      <c r="L251">
        <v>1</v>
      </c>
      <c r="M251">
        <v>1</v>
      </c>
      <c r="N251">
        <v>0</v>
      </c>
      <c r="O251">
        <v>0</v>
      </c>
      <c r="P251">
        <v>0</v>
      </c>
      <c r="Q251">
        <v>1</v>
      </c>
    </row>
    <row r="252" spans="1:21" hidden="1" x14ac:dyDescent="0.2">
      <c r="A252">
        <v>217</v>
      </c>
      <c r="B252" t="s">
        <v>125</v>
      </c>
      <c r="C252" t="s">
        <v>92</v>
      </c>
      <c r="D252" t="s">
        <v>50</v>
      </c>
      <c r="E252" t="s">
        <v>15</v>
      </c>
      <c r="F252" t="s">
        <v>508</v>
      </c>
      <c r="G252" t="s">
        <v>17</v>
      </c>
      <c r="H252" s="1">
        <v>45950</v>
      </c>
      <c r="I252" t="s">
        <v>701</v>
      </c>
      <c r="J252" t="s">
        <v>707</v>
      </c>
      <c r="K252">
        <v>5</v>
      </c>
      <c r="L252">
        <v>1</v>
      </c>
      <c r="M252">
        <v>1</v>
      </c>
      <c r="N252">
        <v>0</v>
      </c>
      <c r="O252">
        <v>0</v>
      </c>
      <c r="P252">
        <v>0</v>
      </c>
      <c r="Q252">
        <v>1</v>
      </c>
    </row>
    <row r="253" spans="1:21" hidden="1" x14ac:dyDescent="0.2">
      <c r="A253">
        <v>216</v>
      </c>
      <c r="B253" t="s">
        <v>106</v>
      </c>
      <c r="C253" t="s">
        <v>92</v>
      </c>
      <c r="D253" t="s">
        <v>698</v>
      </c>
      <c r="E253" t="s">
        <v>546</v>
      </c>
      <c r="F253" t="s">
        <v>547</v>
      </c>
      <c r="G253" t="s">
        <v>47</v>
      </c>
      <c r="H253" s="1">
        <v>45950</v>
      </c>
      <c r="I253" t="s">
        <v>548</v>
      </c>
      <c r="J253" t="s">
        <v>699</v>
      </c>
      <c r="K253">
        <v>5</v>
      </c>
      <c r="L253">
        <v>1</v>
      </c>
      <c r="M253">
        <v>1</v>
      </c>
      <c r="N253">
        <v>1</v>
      </c>
      <c r="O253">
        <v>1</v>
      </c>
      <c r="P253">
        <v>1</v>
      </c>
      <c r="Q253">
        <v>1</v>
      </c>
    </row>
    <row r="254" spans="1:21" hidden="1" x14ac:dyDescent="0.2">
      <c r="A254">
        <v>216</v>
      </c>
      <c r="B254" t="s">
        <v>106</v>
      </c>
      <c r="C254" t="s">
        <v>92</v>
      </c>
      <c r="D254" t="s">
        <v>698</v>
      </c>
      <c r="E254" t="s">
        <v>546</v>
      </c>
      <c r="F254" t="s">
        <v>547</v>
      </c>
      <c r="G254" t="s">
        <v>220</v>
      </c>
      <c r="H254" s="1">
        <v>45950</v>
      </c>
      <c r="I254" t="s">
        <v>548</v>
      </c>
      <c r="J254" t="s">
        <v>699</v>
      </c>
      <c r="K254">
        <v>5</v>
      </c>
      <c r="L254">
        <v>1</v>
      </c>
      <c r="M254">
        <v>1</v>
      </c>
      <c r="N254">
        <v>1</v>
      </c>
      <c r="O254">
        <v>1</v>
      </c>
      <c r="P254">
        <v>1</v>
      </c>
      <c r="Q254">
        <v>1</v>
      </c>
      <c r="R254" t="s">
        <v>202</v>
      </c>
      <c r="S254" t="s">
        <v>1262</v>
      </c>
    </row>
    <row r="255" spans="1:21" ht="409.6" hidden="1" x14ac:dyDescent="0.2">
      <c r="A255">
        <v>220</v>
      </c>
      <c r="B255" t="s">
        <v>106</v>
      </c>
      <c r="C255" t="s">
        <v>92</v>
      </c>
      <c r="D255" t="s">
        <v>714</v>
      </c>
      <c r="E255" t="s">
        <v>546</v>
      </c>
      <c r="F255" t="s">
        <v>547</v>
      </c>
      <c r="G255" t="s">
        <v>220</v>
      </c>
      <c r="H255" s="1">
        <v>45951</v>
      </c>
      <c r="I255" t="s">
        <v>548</v>
      </c>
      <c r="J255" s="3" t="s">
        <v>1264</v>
      </c>
      <c r="K255">
        <v>5</v>
      </c>
      <c r="L255">
        <v>1</v>
      </c>
      <c r="M255">
        <v>1</v>
      </c>
      <c r="N255">
        <v>1</v>
      </c>
      <c r="O255">
        <v>1</v>
      </c>
      <c r="P255">
        <v>1</v>
      </c>
      <c r="Q255">
        <v>1</v>
      </c>
      <c r="R255" t="s">
        <v>202</v>
      </c>
      <c r="S255" t="s">
        <v>1262</v>
      </c>
    </row>
    <row r="256" spans="1:21" hidden="1" x14ac:dyDescent="0.2">
      <c r="A256">
        <v>219</v>
      </c>
      <c r="B256" t="s">
        <v>125</v>
      </c>
      <c r="C256" t="s">
        <v>92</v>
      </c>
      <c r="D256" t="s">
        <v>50</v>
      </c>
      <c r="E256" t="s">
        <v>15</v>
      </c>
      <c r="F256" t="s">
        <v>708</v>
      </c>
      <c r="G256" t="s">
        <v>17</v>
      </c>
      <c r="H256" s="1">
        <v>45951</v>
      </c>
      <c r="I256" t="s">
        <v>701</v>
      </c>
      <c r="J256" t="s">
        <v>709</v>
      </c>
      <c r="K256">
        <v>5</v>
      </c>
      <c r="L256">
        <v>1</v>
      </c>
      <c r="M256">
        <v>1</v>
      </c>
      <c r="N256">
        <v>0</v>
      </c>
      <c r="O256">
        <v>0</v>
      </c>
      <c r="P256">
        <v>0</v>
      </c>
      <c r="Q256">
        <v>1</v>
      </c>
      <c r="T256" t="s">
        <v>284</v>
      </c>
      <c r="U256" t="s">
        <v>607</v>
      </c>
    </row>
    <row r="257" spans="1:21" hidden="1" x14ac:dyDescent="0.2">
      <c r="A257">
        <v>219</v>
      </c>
      <c r="B257" t="s">
        <v>125</v>
      </c>
      <c r="C257" t="s">
        <v>92</v>
      </c>
      <c r="D257" t="s">
        <v>50</v>
      </c>
      <c r="E257" t="s">
        <v>192</v>
      </c>
      <c r="F257" t="s">
        <v>710</v>
      </c>
      <c r="G257" t="s">
        <v>17</v>
      </c>
      <c r="H257" s="1">
        <v>45951</v>
      </c>
      <c r="I257" t="s">
        <v>701</v>
      </c>
      <c r="J257" t="s">
        <v>711</v>
      </c>
      <c r="K257">
        <v>5</v>
      </c>
      <c r="L257">
        <v>1</v>
      </c>
      <c r="M257">
        <v>1</v>
      </c>
      <c r="N257">
        <v>0</v>
      </c>
      <c r="O257">
        <v>0</v>
      </c>
      <c r="P257">
        <v>0</v>
      </c>
      <c r="Q257">
        <v>1</v>
      </c>
      <c r="T257" t="s">
        <v>637</v>
      </c>
    </row>
    <row r="258" spans="1:21" hidden="1" x14ac:dyDescent="0.2">
      <c r="A258">
        <v>219</v>
      </c>
      <c r="B258" t="s">
        <v>125</v>
      </c>
      <c r="C258" t="s">
        <v>92</v>
      </c>
      <c r="D258" t="s">
        <v>50</v>
      </c>
      <c r="E258" t="s">
        <v>15</v>
      </c>
      <c r="F258" t="s">
        <v>575</v>
      </c>
      <c r="G258" t="s">
        <v>17</v>
      </c>
      <c r="H258" s="1">
        <v>45951</v>
      </c>
      <c r="I258" t="s">
        <v>701</v>
      </c>
      <c r="J258" t="s">
        <v>712</v>
      </c>
      <c r="K258">
        <v>5</v>
      </c>
      <c r="L258">
        <v>1</v>
      </c>
      <c r="M258">
        <v>1</v>
      </c>
      <c r="N258">
        <v>0</v>
      </c>
      <c r="O258">
        <v>0</v>
      </c>
      <c r="P258">
        <v>0</v>
      </c>
      <c r="Q258">
        <v>1</v>
      </c>
      <c r="T258" t="s">
        <v>638</v>
      </c>
      <c r="U258" t="s">
        <v>639</v>
      </c>
    </row>
    <row r="259" spans="1:21" hidden="1" x14ac:dyDescent="0.2">
      <c r="A259">
        <v>219</v>
      </c>
      <c r="B259" t="s">
        <v>125</v>
      </c>
      <c r="C259" t="s">
        <v>92</v>
      </c>
      <c r="D259" t="s">
        <v>50</v>
      </c>
      <c r="E259" t="s">
        <v>15</v>
      </c>
      <c r="F259" t="s">
        <v>508</v>
      </c>
      <c r="G259" t="s">
        <v>17</v>
      </c>
      <c r="H259" s="1">
        <v>45951</v>
      </c>
      <c r="I259" t="s">
        <v>701</v>
      </c>
      <c r="J259" t="s">
        <v>713</v>
      </c>
      <c r="K259">
        <v>5</v>
      </c>
      <c r="L259">
        <v>1</v>
      </c>
      <c r="M259">
        <v>1</v>
      </c>
      <c r="N259">
        <v>0</v>
      </c>
      <c r="O259">
        <v>0</v>
      </c>
      <c r="P259">
        <v>0</v>
      </c>
      <c r="Q259">
        <v>1</v>
      </c>
      <c r="T259" t="s">
        <v>284</v>
      </c>
      <c r="U259" t="s">
        <v>644</v>
      </c>
    </row>
    <row r="260" spans="1:21" hidden="1" x14ac:dyDescent="0.2">
      <c r="A260">
        <v>224</v>
      </c>
      <c r="B260" t="s">
        <v>106</v>
      </c>
      <c r="C260" t="s">
        <v>92</v>
      </c>
      <c r="D260" t="s">
        <v>724</v>
      </c>
      <c r="E260" t="s">
        <v>546</v>
      </c>
      <c r="F260" t="s">
        <v>547</v>
      </c>
      <c r="G260" t="s">
        <v>47</v>
      </c>
      <c r="H260" s="1">
        <v>45952</v>
      </c>
      <c r="I260" t="s">
        <v>548</v>
      </c>
      <c r="J260" t="s">
        <v>725</v>
      </c>
      <c r="K260">
        <v>5</v>
      </c>
      <c r="L260">
        <v>1</v>
      </c>
      <c r="M260">
        <v>1</v>
      </c>
      <c r="N260">
        <v>1</v>
      </c>
      <c r="O260">
        <v>1</v>
      </c>
      <c r="P260">
        <v>1</v>
      </c>
      <c r="Q260">
        <v>1</v>
      </c>
      <c r="T260" t="s">
        <v>653</v>
      </c>
      <c r="U260" t="s">
        <v>204</v>
      </c>
    </row>
    <row r="261" spans="1:21" hidden="1" x14ac:dyDescent="0.2">
      <c r="A261">
        <v>224</v>
      </c>
      <c r="B261" t="s">
        <v>106</v>
      </c>
      <c r="C261" t="s">
        <v>92</v>
      </c>
      <c r="D261" t="s">
        <v>724</v>
      </c>
      <c r="E261" t="s">
        <v>546</v>
      </c>
      <c r="F261" t="s">
        <v>547</v>
      </c>
      <c r="G261" t="s">
        <v>220</v>
      </c>
      <c r="H261" s="1">
        <v>45952</v>
      </c>
      <c r="I261" t="s">
        <v>548</v>
      </c>
      <c r="J261" t="s">
        <v>725</v>
      </c>
      <c r="K261">
        <v>5</v>
      </c>
      <c r="L261">
        <v>1</v>
      </c>
      <c r="M261">
        <v>1</v>
      </c>
      <c r="N261">
        <v>1</v>
      </c>
      <c r="O261">
        <v>1</v>
      </c>
      <c r="P261">
        <v>1</v>
      </c>
      <c r="Q261">
        <v>1</v>
      </c>
      <c r="R261" t="s">
        <v>202</v>
      </c>
      <c r="S261" t="s">
        <v>1262</v>
      </c>
      <c r="T261" t="s">
        <v>654</v>
      </c>
      <c r="U261" t="s">
        <v>204</v>
      </c>
    </row>
    <row r="262" spans="1:21" hidden="1" x14ac:dyDescent="0.2">
      <c r="A262">
        <v>223</v>
      </c>
      <c r="B262" t="s">
        <v>125</v>
      </c>
      <c r="C262" t="s">
        <v>92</v>
      </c>
      <c r="D262" t="s">
        <v>50</v>
      </c>
      <c r="E262" t="s">
        <v>192</v>
      </c>
      <c r="F262" t="s">
        <v>716</v>
      </c>
      <c r="G262" t="s">
        <v>17</v>
      </c>
      <c r="H262" s="1">
        <v>45952</v>
      </c>
      <c r="I262" t="s">
        <v>701</v>
      </c>
      <c r="J262" t="s">
        <v>717</v>
      </c>
      <c r="K262">
        <v>5</v>
      </c>
      <c r="L262">
        <v>1</v>
      </c>
      <c r="M262">
        <v>1</v>
      </c>
      <c r="N262">
        <v>0</v>
      </c>
      <c r="O262">
        <v>0</v>
      </c>
      <c r="P262">
        <v>1</v>
      </c>
      <c r="Q262">
        <v>1</v>
      </c>
      <c r="T262" t="s">
        <v>284</v>
      </c>
      <c r="U262" t="s">
        <v>661</v>
      </c>
    </row>
    <row r="263" spans="1:21" hidden="1" x14ac:dyDescent="0.2">
      <c r="A263">
        <v>223</v>
      </c>
      <c r="B263" t="s">
        <v>125</v>
      </c>
      <c r="C263" t="s">
        <v>92</v>
      </c>
      <c r="D263" t="s">
        <v>50</v>
      </c>
      <c r="E263" t="s">
        <v>192</v>
      </c>
      <c r="F263" t="s">
        <v>718</v>
      </c>
      <c r="G263" t="s">
        <v>17</v>
      </c>
      <c r="H263" s="1">
        <v>45952</v>
      </c>
      <c r="I263" t="s">
        <v>701</v>
      </c>
      <c r="J263" t="s">
        <v>719</v>
      </c>
      <c r="K263">
        <v>5</v>
      </c>
      <c r="L263">
        <v>1</v>
      </c>
      <c r="M263">
        <v>1</v>
      </c>
      <c r="N263">
        <v>0</v>
      </c>
      <c r="O263">
        <v>0</v>
      </c>
      <c r="P263">
        <v>1</v>
      </c>
      <c r="Q263">
        <v>1</v>
      </c>
      <c r="T263" t="s">
        <v>284</v>
      </c>
      <c r="U263" t="s">
        <v>661</v>
      </c>
    </row>
    <row r="264" spans="1:21" hidden="1" x14ac:dyDescent="0.2">
      <c r="A264">
        <v>223</v>
      </c>
      <c r="B264" t="s">
        <v>125</v>
      </c>
      <c r="C264" t="s">
        <v>92</v>
      </c>
      <c r="D264" t="s">
        <v>50</v>
      </c>
      <c r="E264" t="s">
        <v>15</v>
      </c>
      <c r="F264" t="s">
        <v>720</v>
      </c>
      <c r="G264" t="s">
        <v>17</v>
      </c>
      <c r="H264" s="1">
        <v>45952</v>
      </c>
      <c r="I264" t="s">
        <v>701</v>
      </c>
      <c r="J264" t="s">
        <v>721</v>
      </c>
      <c r="K264">
        <v>5</v>
      </c>
      <c r="L264">
        <v>1</v>
      </c>
      <c r="M264">
        <v>1</v>
      </c>
      <c r="N264">
        <v>0</v>
      </c>
      <c r="O264">
        <v>0</v>
      </c>
      <c r="P264">
        <v>1</v>
      </c>
      <c r="Q264">
        <v>1</v>
      </c>
      <c r="T264" t="s">
        <v>284</v>
      </c>
      <c r="U264" t="s">
        <v>326</v>
      </c>
    </row>
    <row r="265" spans="1:21" hidden="1" x14ac:dyDescent="0.2">
      <c r="A265">
        <v>223</v>
      </c>
      <c r="B265" t="s">
        <v>125</v>
      </c>
      <c r="C265" t="s">
        <v>92</v>
      </c>
      <c r="D265" t="s">
        <v>50</v>
      </c>
      <c r="E265" t="s">
        <v>192</v>
      </c>
      <c r="F265" t="s">
        <v>722</v>
      </c>
      <c r="G265" t="s">
        <v>17</v>
      </c>
      <c r="H265" s="1">
        <v>45952</v>
      </c>
      <c r="I265" t="s">
        <v>701</v>
      </c>
      <c r="J265" t="s">
        <v>723</v>
      </c>
      <c r="K265">
        <v>5</v>
      </c>
      <c r="L265">
        <v>1</v>
      </c>
      <c r="M265">
        <v>1</v>
      </c>
      <c r="N265">
        <v>0</v>
      </c>
      <c r="O265">
        <v>0</v>
      </c>
      <c r="P265">
        <v>1</v>
      </c>
      <c r="Q265">
        <v>1</v>
      </c>
      <c r="T265" t="s">
        <v>284</v>
      </c>
      <c r="U265" t="s">
        <v>666</v>
      </c>
    </row>
    <row r="266" spans="1:21" hidden="1" x14ac:dyDescent="0.2">
      <c r="A266">
        <v>226</v>
      </c>
      <c r="B266" t="s">
        <v>106</v>
      </c>
      <c r="C266" t="s">
        <v>92</v>
      </c>
      <c r="D266" t="s">
        <v>726</v>
      </c>
      <c r="E266" t="s">
        <v>546</v>
      </c>
      <c r="F266" t="s">
        <v>547</v>
      </c>
      <c r="G266" t="s">
        <v>220</v>
      </c>
      <c r="H266" s="1">
        <v>45953</v>
      </c>
      <c r="I266" t="s">
        <v>548</v>
      </c>
      <c r="J266" t="s">
        <v>727</v>
      </c>
      <c r="K266">
        <v>5</v>
      </c>
      <c r="L266">
        <v>1</v>
      </c>
      <c r="M266">
        <v>1</v>
      </c>
      <c r="N266">
        <v>1</v>
      </c>
      <c r="O266">
        <v>1</v>
      </c>
      <c r="P266">
        <v>1</v>
      </c>
      <c r="Q266">
        <v>1</v>
      </c>
      <c r="R266" t="s">
        <v>202</v>
      </c>
      <c r="S266" t="s">
        <v>1262</v>
      </c>
      <c r="T266" t="s">
        <v>670</v>
      </c>
      <c r="U266" t="s">
        <v>671</v>
      </c>
    </row>
    <row r="267" spans="1:21" hidden="1" x14ac:dyDescent="0.2">
      <c r="A267">
        <v>229</v>
      </c>
      <c r="B267" t="s">
        <v>106</v>
      </c>
      <c r="C267" t="s">
        <v>92</v>
      </c>
      <c r="D267" t="s">
        <v>729</v>
      </c>
      <c r="E267" t="s">
        <v>546</v>
      </c>
      <c r="F267" t="s">
        <v>547</v>
      </c>
      <c r="G267" t="s">
        <v>220</v>
      </c>
      <c r="H267" s="1">
        <v>45954</v>
      </c>
      <c r="I267" t="s">
        <v>548</v>
      </c>
      <c r="J267" t="s">
        <v>730</v>
      </c>
      <c r="K267">
        <v>5</v>
      </c>
      <c r="L267">
        <v>1</v>
      </c>
      <c r="M267">
        <v>1</v>
      </c>
      <c r="N267">
        <v>1</v>
      </c>
      <c r="O267">
        <v>1</v>
      </c>
      <c r="P267">
        <v>1</v>
      </c>
      <c r="Q267">
        <v>1</v>
      </c>
      <c r="R267" t="s">
        <v>202</v>
      </c>
      <c r="S267" t="s">
        <v>1262</v>
      </c>
      <c r="T267" t="s">
        <v>672</v>
      </c>
      <c r="U267" t="s">
        <v>673</v>
      </c>
    </row>
    <row r="268" spans="1:21" hidden="1" x14ac:dyDescent="0.2">
      <c r="A268">
        <v>233</v>
      </c>
      <c r="B268" t="s">
        <v>125</v>
      </c>
      <c r="C268" t="s">
        <v>92</v>
      </c>
      <c r="D268" t="s">
        <v>50</v>
      </c>
      <c r="E268" t="s">
        <v>15</v>
      </c>
      <c r="F268" t="s">
        <v>379</v>
      </c>
      <c r="G268" t="s">
        <v>17</v>
      </c>
      <c r="H268" s="1">
        <v>45957</v>
      </c>
      <c r="I268" t="s">
        <v>701</v>
      </c>
      <c r="J268" t="s">
        <v>733</v>
      </c>
      <c r="K268">
        <v>5</v>
      </c>
      <c r="L268">
        <v>1</v>
      </c>
      <c r="M268">
        <v>1</v>
      </c>
      <c r="N268">
        <v>0</v>
      </c>
      <c r="O268">
        <v>1</v>
      </c>
      <c r="P268">
        <v>0</v>
      </c>
      <c r="Q268">
        <v>1</v>
      </c>
      <c r="T268" t="s">
        <v>326</v>
      </c>
      <c r="U268" t="s">
        <v>326</v>
      </c>
    </row>
    <row r="269" spans="1:21" hidden="1" x14ac:dyDescent="0.2">
      <c r="A269">
        <v>233</v>
      </c>
      <c r="B269" t="s">
        <v>125</v>
      </c>
      <c r="C269" t="s">
        <v>92</v>
      </c>
      <c r="D269" t="s">
        <v>50</v>
      </c>
      <c r="E269" t="s">
        <v>192</v>
      </c>
      <c r="F269" t="s">
        <v>734</v>
      </c>
      <c r="G269" t="s">
        <v>17</v>
      </c>
      <c r="H269" s="1">
        <v>45957</v>
      </c>
      <c r="I269" t="s">
        <v>701</v>
      </c>
      <c r="J269" t="s">
        <v>735</v>
      </c>
      <c r="K269">
        <v>5</v>
      </c>
      <c r="L269">
        <v>1</v>
      </c>
      <c r="M269">
        <v>1</v>
      </c>
      <c r="N269">
        <v>0</v>
      </c>
      <c r="O269">
        <v>1</v>
      </c>
      <c r="P269">
        <v>0</v>
      </c>
      <c r="Q269">
        <v>1</v>
      </c>
      <c r="T269" t="s">
        <v>284</v>
      </c>
      <c r="U269" t="s">
        <v>686</v>
      </c>
    </row>
    <row r="270" spans="1:21" hidden="1" x14ac:dyDescent="0.2">
      <c r="A270">
        <v>233</v>
      </c>
      <c r="B270" t="s">
        <v>125</v>
      </c>
      <c r="C270" t="s">
        <v>92</v>
      </c>
      <c r="D270" t="s">
        <v>50</v>
      </c>
      <c r="E270" t="s">
        <v>192</v>
      </c>
      <c r="F270" t="s">
        <v>736</v>
      </c>
      <c r="G270" t="s">
        <v>17</v>
      </c>
      <c r="H270" s="1">
        <v>45957</v>
      </c>
      <c r="I270" t="s">
        <v>701</v>
      </c>
      <c r="J270" t="s">
        <v>735</v>
      </c>
      <c r="K270">
        <v>5</v>
      </c>
      <c r="L270">
        <v>1</v>
      </c>
      <c r="M270">
        <v>1</v>
      </c>
      <c r="N270">
        <v>0</v>
      </c>
      <c r="O270">
        <v>1</v>
      </c>
      <c r="P270">
        <v>0</v>
      </c>
      <c r="Q270">
        <v>1</v>
      </c>
      <c r="T270" t="s">
        <v>255</v>
      </c>
      <c r="U270" t="s">
        <v>326</v>
      </c>
    </row>
    <row r="271" spans="1:21" hidden="1" x14ac:dyDescent="0.2">
      <c r="A271">
        <v>233</v>
      </c>
      <c r="B271" t="s">
        <v>125</v>
      </c>
      <c r="C271" t="s">
        <v>92</v>
      </c>
      <c r="D271" t="s">
        <v>50</v>
      </c>
      <c r="E271" t="s">
        <v>192</v>
      </c>
      <c r="F271" t="s">
        <v>737</v>
      </c>
      <c r="G271" t="s">
        <v>17</v>
      </c>
      <c r="H271" s="1">
        <v>45957</v>
      </c>
      <c r="I271" t="s">
        <v>701</v>
      </c>
      <c r="J271" t="s">
        <v>735</v>
      </c>
      <c r="K271">
        <v>5</v>
      </c>
      <c r="L271">
        <v>1</v>
      </c>
      <c r="M271">
        <v>1</v>
      </c>
      <c r="N271">
        <v>0</v>
      </c>
      <c r="O271">
        <v>1</v>
      </c>
      <c r="P271">
        <v>0</v>
      </c>
      <c r="Q271">
        <v>1</v>
      </c>
      <c r="T271" t="s">
        <v>284</v>
      </c>
      <c r="U271" t="s">
        <v>691</v>
      </c>
    </row>
    <row r="272" spans="1:21" ht="409.6" hidden="1" x14ac:dyDescent="0.2">
      <c r="A272">
        <v>231</v>
      </c>
      <c r="B272" t="s">
        <v>65</v>
      </c>
      <c r="C272" t="s">
        <v>92</v>
      </c>
      <c r="D272" t="s">
        <v>732</v>
      </c>
      <c r="E272" t="s">
        <v>66</v>
      </c>
      <c r="F272" t="s">
        <v>140</v>
      </c>
      <c r="G272" t="s">
        <v>17</v>
      </c>
      <c r="H272" s="1">
        <v>45957</v>
      </c>
      <c r="I272" t="s">
        <v>68</v>
      </c>
      <c r="J272" s="3" t="s">
        <v>1265</v>
      </c>
      <c r="K272">
        <v>5</v>
      </c>
      <c r="L272">
        <v>1</v>
      </c>
      <c r="M272">
        <v>1</v>
      </c>
      <c r="N272">
        <v>1</v>
      </c>
      <c r="O272">
        <v>1</v>
      </c>
      <c r="P272">
        <v>1</v>
      </c>
      <c r="Q272">
        <v>1</v>
      </c>
      <c r="T272" t="s">
        <v>1262</v>
      </c>
      <c r="U272" t="s">
        <v>700</v>
      </c>
    </row>
    <row r="273" spans="1:21" hidden="1" x14ac:dyDescent="0.2">
      <c r="A273">
        <v>237</v>
      </c>
      <c r="B273" t="s">
        <v>106</v>
      </c>
      <c r="C273" t="s">
        <v>92</v>
      </c>
      <c r="D273" t="s">
        <v>744</v>
      </c>
      <c r="E273" t="s">
        <v>62</v>
      </c>
      <c r="F273" t="s">
        <v>745</v>
      </c>
      <c r="G273" t="s">
        <v>200</v>
      </c>
      <c r="H273" s="1">
        <v>45958</v>
      </c>
      <c r="I273" t="s">
        <v>68</v>
      </c>
      <c r="J273" t="s">
        <v>746</v>
      </c>
      <c r="K273">
        <v>5</v>
      </c>
      <c r="L273">
        <v>1</v>
      </c>
      <c r="M273">
        <v>0</v>
      </c>
      <c r="N273">
        <v>0</v>
      </c>
      <c r="O273">
        <v>0</v>
      </c>
      <c r="P273">
        <v>0</v>
      </c>
      <c r="Q273">
        <v>1</v>
      </c>
      <c r="R273" t="s">
        <v>214</v>
      </c>
      <c r="S273" t="s">
        <v>747</v>
      </c>
      <c r="T273" t="s">
        <v>715</v>
      </c>
      <c r="U273" t="s">
        <v>1262</v>
      </c>
    </row>
    <row r="274" spans="1:21" hidden="1" x14ac:dyDescent="0.2">
      <c r="A274">
        <v>237</v>
      </c>
      <c r="B274" t="s">
        <v>106</v>
      </c>
      <c r="C274" t="s">
        <v>92</v>
      </c>
      <c r="D274" t="s">
        <v>744</v>
      </c>
      <c r="E274" t="s">
        <v>62</v>
      </c>
      <c r="F274" t="s">
        <v>745</v>
      </c>
      <c r="G274" t="s">
        <v>200</v>
      </c>
      <c r="H274" s="1">
        <v>45958</v>
      </c>
      <c r="I274" t="s">
        <v>68</v>
      </c>
      <c r="J274" t="s">
        <v>746</v>
      </c>
      <c r="K274">
        <v>5</v>
      </c>
      <c r="L274">
        <v>1</v>
      </c>
      <c r="M274">
        <v>0</v>
      </c>
      <c r="N274">
        <v>0</v>
      </c>
      <c r="O274">
        <v>0</v>
      </c>
      <c r="P274">
        <v>0</v>
      </c>
      <c r="Q274">
        <v>1</v>
      </c>
      <c r="R274" t="s">
        <v>214</v>
      </c>
      <c r="S274" t="s">
        <v>750</v>
      </c>
      <c r="T274" t="s">
        <v>1262</v>
      </c>
      <c r="U274" t="s">
        <v>1262</v>
      </c>
    </row>
    <row r="275" spans="1:21" hidden="1" x14ac:dyDescent="0.2">
      <c r="A275">
        <v>236</v>
      </c>
      <c r="B275" t="s">
        <v>65</v>
      </c>
      <c r="C275" t="s">
        <v>92</v>
      </c>
      <c r="D275" t="s">
        <v>741</v>
      </c>
      <c r="E275" t="s">
        <v>66</v>
      </c>
      <c r="F275" t="s">
        <v>140</v>
      </c>
      <c r="G275" t="s">
        <v>17</v>
      </c>
      <c r="H275" s="1">
        <v>45958</v>
      </c>
      <c r="I275" t="s">
        <v>68</v>
      </c>
      <c r="J275" t="s">
        <v>742</v>
      </c>
      <c r="K275">
        <v>5</v>
      </c>
      <c r="L275">
        <v>1</v>
      </c>
      <c r="M275">
        <v>1</v>
      </c>
      <c r="N275">
        <v>1</v>
      </c>
      <c r="O275">
        <v>1</v>
      </c>
      <c r="P275">
        <v>1</v>
      </c>
      <c r="Q275">
        <v>1</v>
      </c>
      <c r="T275" t="s">
        <v>1262</v>
      </c>
      <c r="U275" t="s">
        <v>728</v>
      </c>
    </row>
    <row r="276" spans="1:21" hidden="1" x14ac:dyDescent="0.2">
      <c r="A276">
        <v>236</v>
      </c>
      <c r="B276" t="s">
        <v>65</v>
      </c>
      <c r="C276" t="s">
        <v>92</v>
      </c>
      <c r="D276" t="s">
        <v>741</v>
      </c>
      <c r="E276" t="s">
        <v>66</v>
      </c>
      <c r="F276" t="s">
        <v>71</v>
      </c>
      <c r="G276" t="s">
        <v>17</v>
      </c>
      <c r="H276" s="1">
        <v>45958</v>
      </c>
      <c r="I276" t="s">
        <v>68</v>
      </c>
      <c r="J276" t="s">
        <v>743</v>
      </c>
      <c r="K276">
        <v>5</v>
      </c>
      <c r="L276">
        <v>1</v>
      </c>
      <c r="M276">
        <v>1</v>
      </c>
      <c r="N276">
        <v>1</v>
      </c>
      <c r="O276">
        <v>1</v>
      </c>
      <c r="P276">
        <v>1</v>
      </c>
      <c r="Q276">
        <v>1</v>
      </c>
      <c r="T276" t="s">
        <v>1262</v>
      </c>
      <c r="U276" t="s">
        <v>731</v>
      </c>
    </row>
    <row r="277" spans="1:21" hidden="1" x14ac:dyDescent="0.2">
      <c r="A277">
        <v>234</v>
      </c>
      <c r="B277" t="s">
        <v>125</v>
      </c>
      <c r="C277" t="s">
        <v>92</v>
      </c>
      <c r="D277" t="s">
        <v>189</v>
      </c>
      <c r="E277" t="s">
        <v>192</v>
      </c>
      <c r="F277" t="s">
        <v>738</v>
      </c>
      <c r="G277" t="s">
        <v>47</v>
      </c>
      <c r="H277" s="1">
        <v>45958</v>
      </c>
      <c r="I277" t="s">
        <v>701</v>
      </c>
      <c r="J277" t="s">
        <v>739</v>
      </c>
      <c r="K277">
        <v>5</v>
      </c>
      <c r="L277">
        <v>1</v>
      </c>
      <c r="M277">
        <v>1</v>
      </c>
      <c r="N277">
        <v>0</v>
      </c>
      <c r="O277">
        <v>1</v>
      </c>
      <c r="P277">
        <v>0</v>
      </c>
      <c r="Q277">
        <v>1</v>
      </c>
      <c r="T277" t="s">
        <v>748</v>
      </c>
      <c r="U277" t="s">
        <v>749</v>
      </c>
    </row>
    <row r="278" spans="1:21" hidden="1" x14ac:dyDescent="0.2">
      <c r="A278">
        <v>234</v>
      </c>
      <c r="B278" t="s">
        <v>125</v>
      </c>
      <c r="C278" t="s">
        <v>92</v>
      </c>
      <c r="D278" t="s">
        <v>189</v>
      </c>
      <c r="E278" t="s">
        <v>15</v>
      </c>
      <c r="F278" t="s">
        <v>74</v>
      </c>
      <c r="G278" t="s">
        <v>17</v>
      </c>
      <c r="H278" s="1">
        <v>45958</v>
      </c>
      <c r="I278" t="s">
        <v>701</v>
      </c>
      <c r="J278" t="s">
        <v>740</v>
      </c>
      <c r="K278">
        <v>5</v>
      </c>
      <c r="L278">
        <v>1</v>
      </c>
      <c r="M278">
        <v>1</v>
      </c>
      <c r="N278">
        <v>0</v>
      </c>
      <c r="O278">
        <v>1</v>
      </c>
      <c r="P278">
        <v>0</v>
      </c>
      <c r="Q278">
        <v>1</v>
      </c>
      <c r="T278" t="s">
        <v>751</v>
      </c>
      <c r="U278" t="s">
        <v>752</v>
      </c>
    </row>
    <row r="279" spans="1:21" hidden="1" x14ac:dyDescent="0.2">
      <c r="A279">
        <v>240</v>
      </c>
      <c r="B279" t="s">
        <v>28</v>
      </c>
      <c r="C279" t="s">
        <v>92</v>
      </c>
      <c r="D279" t="s">
        <v>753</v>
      </c>
      <c r="E279" t="s">
        <v>15</v>
      </c>
      <c r="F279" t="s">
        <v>553</v>
      </c>
      <c r="G279" t="s">
        <v>17</v>
      </c>
      <c r="H279" s="1">
        <v>45959</v>
      </c>
      <c r="I279" t="s">
        <v>31</v>
      </c>
      <c r="J279" t="s">
        <v>1266</v>
      </c>
      <c r="K279">
        <v>5</v>
      </c>
      <c r="L279">
        <v>1</v>
      </c>
      <c r="M279">
        <v>1</v>
      </c>
      <c r="N279">
        <v>0</v>
      </c>
      <c r="O279">
        <v>1</v>
      </c>
      <c r="P279">
        <v>0</v>
      </c>
      <c r="Q279">
        <v>1</v>
      </c>
      <c r="T279" t="s">
        <v>759</v>
      </c>
      <c r="U279" t="s">
        <v>1267</v>
      </c>
    </row>
    <row r="280" spans="1:21" hidden="1" x14ac:dyDescent="0.2">
      <c r="A280">
        <v>240</v>
      </c>
      <c r="B280" t="s">
        <v>28</v>
      </c>
      <c r="C280" t="s">
        <v>92</v>
      </c>
      <c r="D280" t="s">
        <v>753</v>
      </c>
      <c r="E280" t="s">
        <v>15</v>
      </c>
      <c r="F280" t="s">
        <v>170</v>
      </c>
      <c r="G280" t="s">
        <v>17</v>
      </c>
      <c r="H280" s="1">
        <v>45959</v>
      </c>
      <c r="I280" t="s">
        <v>31</v>
      </c>
      <c r="J280" t="s">
        <v>754</v>
      </c>
      <c r="K280">
        <v>5</v>
      </c>
      <c r="L280">
        <v>1</v>
      </c>
      <c r="M280">
        <v>1</v>
      </c>
      <c r="N280">
        <v>0</v>
      </c>
      <c r="O280">
        <v>1</v>
      </c>
      <c r="P280">
        <v>0</v>
      </c>
      <c r="Q280">
        <v>1</v>
      </c>
      <c r="T280" t="s">
        <v>763</v>
      </c>
      <c r="U280" t="s">
        <v>764</v>
      </c>
    </row>
    <row r="281" spans="1:21" hidden="1" x14ac:dyDescent="0.2">
      <c r="A281">
        <v>242</v>
      </c>
      <c r="B281" t="s">
        <v>125</v>
      </c>
      <c r="C281" t="s">
        <v>92</v>
      </c>
      <c r="D281" t="s">
        <v>769</v>
      </c>
      <c r="E281" t="s">
        <v>192</v>
      </c>
      <c r="F281" t="s">
        <v>770</v>
      </c>
      <c r="G281" t="s">
        <v>17</v>
      </c>
      <c r="H281" s="1">
        <v>45960</v>
      </c>
      <c r="I281" t="s">
        <v>701</v>
      </c>
      <c r="J281" t="s">
        <v>771</v>
      </c>
      <c r="K281">
        <v>5</v>
      </c>
      <c r="L281">
        <v>1</v>
      </c>
      <c r="M281">
        <v>1</v>
      </c>
      <c r="N281">
        <v>0</v>
      </c>
      <c r="O281">
        <v>1</v>
      </c>
      <c r="P281">
        <v>0</v>
      </c>
      <c r="Q281">
        <v>1</v>
      </c>
      <c r="T281" t="s">
        <v>767</v>
      </c>
      <c r="U281" t="s">
        <v>768</v>
      </c>
    </row>
    <row r="282" spans="1:21" hidden="1" x14ac:dyDescent="0.2">
      <c r="A282">
        <v>242</v>
      </c>
      <c r="B282" t="s">
        <v>125</v>
      </c>
      <c r="C282" t="s">
        <v>92</v>
      </c>
      <c r="D282" t="s">
        <v>769</v>
      </c>
      <c r="E282" t="s">
        <v>15</v>
      </c>
      <c r="F282" t="s">
        <v>170</v>
      </c>
      <c r="G282" t="s">
        <v>17</v>
      </c>
      <c r="H282" s="1">
        <v>45960</v>
      </c>
      <c r="I282" t="s">
        <v>701</v>
      </c>
      <c r="J282" t="s">
        <v>772</v>
      </c>
      <c r="K282">
        <v>5</v>
      </c>
      <c r="L282">
        <v>1</v>
      </c>
      <c r="M282">
        <v>1</v>
      </c>
      <c r="N282">
        <v>0</v>
      </c>
      <c r="O282">
        <v>1</v>
      </c>
      <c r="P282">
        <v>0</v>
      </c>
      <c r="Q282">
        <v>1</v>
      </c>
      <c r="T282" t="s">
        <v>1262</v>
      </c>
      <c r="U282" t="s">
        <v>781</v>
      </c>
    </row>
    <row r="283" spans="1:21" hidden="1" x14ac:dyDescent="0.2">
      <c r="A283">
        <v>242</v>
      </c>
      <c r="B283" t="s">
        <v>125</v>
      </c>
      <c r="C283" t="s">
        <v>92</v>
      </c>
      <c r="D283" t="s">
        <v>769</v>
      </c>
      <c r="E283" t="s">
        <v>15</v>
      </c>
      <c r="F283" t="s">
        <v>74</v>
      </c>
      <c r="G283" t="s">
        <v>17</v>
      </c>
      <c r="H283" s="1">
        <v>45960</v>
      </c>
      <c r="I283" t="s">
        <v>701</v>
      </c>
      <c r="J283" t="s">
        <v>773</v>
      </c>
      <c r="K283">
        <v>5</v>
      </c>
      <c r="L283">
        <v>1</v>
      </c>
      <c r="M283">
        <v>1</v>
      </c>
      <c r="N283">
        <v>0</v>
      </c>
      <c r="O283">
        <v>1</v>
      </c>
      <c r="P283">
        <v>0</v>
      </c>
      <c r="Q283">
        <v>1</v>
      </c>
      <c r="T283" t="s">
        <v>786</v>
      </c>
      <c r="U283" t="s">
        <v>787</v>
      </c>
    </row>
    <row r="284" spans="1:21" hidden="1" x14ac:dyDescent="0.2">
      <c r="A284">
        <v>242</v>
      </c>
      <c r="B284" t="s">
        <v>125</v>
      </c>
      <c r="C284" t="s">
        <v>92</v>
      </c>
      <c r="D284" t="s">
        <v>769</v>
      </c>
      <c r="E284" t="s">
        <v>15</v>
      </c>
      <c r="F284" t="s">
        <v>57</v>
      </c>
      <c r="G284" t="s">
        <v>17</v>
      </c>
      <c r="H284" s="1">
        <v>45960</v>
      </c>
      <c r="I284" t="s">
        <v>701</v>
      </c>
      <c r="J284" t="s">
        <v>774</v>
      </c>
      <c r="K284">
        <v>5</v>
      </c>
      <c r="L284">
        <v>1</v>
      </c>
      <c r="M284">
        <v>1</v>
      </c>
      <c r="N284">
        <v>0</v>
      </c>
      <c r="O284">
        <v>1</v>
      </c>
      <c r="P284">
        <v>0</v>
      </c>
      <c r="Q284">
        <v>1</v>
      </c>
      <c r="T284" t="s">
        <v>284</v>
      </c>
      <c r="U284" t="s">
        <v>815</v>
      </c>
    </row>
    <row r="285" spans="1:21" hidden="1" x14ac:dyDescent="0.2">
      <c r="A285">
        <v>242</v>
      </c>
      <c r="B285" t="s">
        <v>125</v>
      </c>
      <c r="C285" t="s">
        <v>92</v>
      </c>
      <c r="D285" t="s">
        <v>769</v>
      </c>
      <c r="E285" t="s">
        <v>15</v>
      </c>
      <c r="F285" t="s">
        <v>59</v>
      </c>
      <c r="G285" t="s">
        <v>17</v>
      </c>
      <c r="H285" s="1">
        <v>45960</v>
      </c>
      <c r="I285" t="s">
        <v>701</v>
      </c>
      <c r="J285" t="s">
        <v>774</v>
      </c>
      <c r="K285">
        <v>5</v>
      </c>
      <c r="L285">
        <v>1</v>
      </c>
      <c r="M285">
        <v>1</v>
      </c>
      <c r="N285">
        <v>0</v>
      </c>
      <c r="O285">
        <v>1</v>
      </c>
      <c r="P285">
        <v>0</v>
      </c>
      <c r="Q285">
        <v>1</v>
      </c>
      <c r="T285" t="s">
        <v>284</v>
      </c>
      <c r="U285" t="s">
        <v>326</v>
      </c>
    </row>
    <row r="286" spans="1:21" hidden="1" x14ac:dyDescent="0.2">
      <c r="A286">
        <v>241</v>
      </c>
      <c r="B286" t="s">
        <v>106</v>
      </c>
      <c r="C286" t="s">
        <v>92</v>
      </c>
      <c r="D286" t="s">
        <v>744</v>
      </c>
      <c r="E286" t="s">
        <v>62</v>
      </c>
      <c r="F286" t="s">
        <v>755</v>
      </c>
      <c r="G286" t="s">
        <v>200</v>
      </c>
      <c r="H286" s="1">
        <v>45960</v>
      </c>
      <c r="I286" t="s">
        <v>756</v>
      </c>
      <c r="J286" t="s">
        <v>757</v>
      </c>
      <c r="K286">
        <v>5</v>
      </c>
      <c r="L286">
        <v>0</v>
      </c>
      <c r="M286">
        <v>0</v>
      </c>
      <c r="N286">
        <v>0</v>
      </c>
      <c r="O286">
        <v>1</v>
      </c>
      <c r="P286">
        <v>0</v>
      </c>
      <c r="Q286">
        <v>1</v>
      </c>
      <c r="R286" t="s">
        <v>214</v>
      </c>
      <c r="S286" t="s">
        <v>758</v>
      </c>
      <c r="T286" t="s">
        <v>820</v>
      </c>
      <c r="U286" t="s">
        <v>821</v>
      </c>
    </row>
    <row r="287" spans="1:21" hidden="1" x14ac:dyDescent="0.2">
      <c r="A287">
        <v>241</v>
      </c>
      <c r="B287" t="s">
        <v>106</v>
      </c>
      <c r="C287" t="s">
        <v>92</v>
      </c>
      <c r="D287" t="s">
        <v>744</v>
      </c>
      <c r="E287" t="s">
        <v>62</v>
      </c>
      <c r="F287" t="s">
        <v>755</v>
      </c>
      <c r="G287" t="s">
        <v>200</v>
      </c>
      <c r="H287" s="1">
        <v>45960</v>
      </c>
      <c r="I287" t="s">
        <v>756</v>
      </c>
      <c r="J287" t="s">
        <v>757</v>
      </c>
      <c r="K287">
        <v>5</v>
      </c>
      <c r="L287">
        <v>0</v>
      </c>
      <c r="M287">
        <v>0</v>
      </c>
      <c r="N287">
        <v>0</v>
      </c>
      <c r="O287">
        <v>1</v>
      </c>
      <c r="P287">
        <v>0</v>
      </c>
      <c r="Q287">
        <v>1</v>
      </c>
      <c r="R287" t="s">
        <v>761</v>
      </c>
      <c r="S287" t="s">
        <v>762</v>
      </c>
      <c r="T287" t="s">
        <v>963</v>
      </c>
      <c r="U287" t="s">
        <v>964</v>
      </c>
    </row>
    <row r="288" spans="1:21" hidden="1" x14ac:dyDescent="0.2">
      <c r="A288">
        <v>241</v>
      </c>
      <c r="B288" t="s">
        <v>106</v>
      </c>
      <c r="C288" t="s">
        <v>92</v>
      </c>
      <c r="D288" t="s">
        <v>744</v>
      </c>
      <c r="E288" t="s">
        <v>62</v>
      </c>
      <c r="F288" t="s">
        <v>745</v>
      </c>
      <c r="G288" t="s">
        <v>200</v>
      </c>
      <c r="H288" s="1">
        <v>45960</v>
      </c>
      <c r="I288" t="s">
        <v>756</v>
      </c>
      <c r="J288" t="s">
        <v>765</v>
      </c>
      <c r="K288">
        <v>5</v>
      </c>
      <c r="L288">
        <v>0</v>
      </c>
      <c r="M288">
        <v>0</v>
      </c>
      <c r="N288">
        <v>0</v>
      </c>
      <c r="O288">
        <v>1</v>
      </c>
      <c r="P288">
        <v>0</v>
      </c>
      <c r="Q288">
        <v>1</v>
      </c>
      <c r="R288" t="s">
        <v>761</v>
      </c>
      <c r="S288" t="s">
        <v>766</v>
      </c>
      <c r="T288" t="s">
        <v>966</v>
      </c>
      <c r="U288" t="s">
        <v>966</v>
      </c>
    </row>
    <row r="289" spans="1:21" hidden="1" x14ac:dyDescent="0.2">
      <c r="A289">
        <v>247</v>
      </c>
      <c r="B289" t="s">
        <v>43</v>
      </c>
      <c r="C289" t="s">
        <v>92</v>
      </c>
      <c r="D289" t="s">
        <v>792</v>
      </c>
      <c r="E289" t="s">
        <v>793</v>
      </c>
      <c r="F289" t="s">
        <v>794</v>
      </c>
      <c r="G289" t="s">
        <v>36</v>
      </c>
      <c r="H289" s="1">
        <v>45964</v>
      </c>
      <c r="I289" t="s">
        <v>149</v>
      </c>
      <c r="J289" t="s">
        <v>795</v>
      </c>
      <c r="K289">
        <v>5</v>
      </c>
      <c r="L289">
        <v>1</v>
      </c>
      <c r="M289">
        <v>1</v>
      </c>
      <c r="N289">
        <v>1</v>
      </c>
      <c r="O289">
        <v>1</v>
      </c>
      <c r="P289">
        <v>1</v>
      </c>
      <c r="Q289">
        <v>1</v>
      </c>
      <c r="T289" t="s">
        <v>974</v>
      </c>
      <c r="U289" t="s">
        <v>975</v>
      </c>
    </row>
    <row r="290" spans="1:21" hidden="1" x14ac:dyDescent="0.2">
      <c r="A290">
        <v>244</v>
      </c>
      <c r="B290" t="s">
        <v>125</v>
      </c>
      <c r="C290" t="s">
        <v>92</v>
      </c>
      <c r="D290" t="s">
        <v>775</v>
      </c>
      <c r="E290" t="s">
        <v>776</v>
      </c>
      <c r="F290" t="s">
        <v>710</v>
      </c>
      <c r="G290" t="s">
        <v>17</v>
      </c>
      <c r="H290" s="1">
        <v>45964</v>
      </c>
      <c r="I290" t="s">
        <v>701</v>
      </c>
      <c r="J290" t="s">
        <v>777</v>
      </c>
      <c r="K290">
        <v>5</v>
      </c>
      <c r="L290">
        <v>1</v>
      </c>
      <c r="M290">
        <v>1</v>
      </c>
      <c r="N290">
        <v>0</v>
      </c>
      <c r="O290">
        <v>1</v>
      </c>
      <c r="P290">
        <v>0</v>
      </c>
      <c r="Q290">
        <v>1</v>
      </c>
      <c r="T290" t="s">
        <v>981</v>
      </c>
      <c r="U290" t="s">
        <v>982</v>
      </c>
    </row>
    <row r="291" spans="1:21" hidden="1" x14ac:dyDescent="0.2">
      <c r="A291">
        <v>244</v>
      </c>
      <c r="B291" t="s">
        <v>125</v>
      </c>
      <c r="C291" t="s">
        <v>92</v>
      </c>
      <c r="D291" t="s">
        <v>775</v>
      </c>
      <c r="E291" t="s">
        <v>15</v>
      </c>
      <c r="F291" t="s">
        <v>20</v>
      </c>
      <c r="G291" t="s">
        <v>17</v>
      </c>
      <c r="H291" s="1">
        <v>45964</v>
      </c>
      <c r="I291" t="s">
        <v>701</v>
      </c>
      <c r="J291" t="s">
        <v>778</v>
      </c>
      <c r="K291">
        <v>5</v>
      </c>
      <c r="L291">
        <v>1</v>
      </c>
      <c r="M291">
        <v>1</v>
      </c>
      <c r="N291">
        <v>0</v>
      </c>
      <c r="O291">
        <v>1</v>
      </c>
      <c r="P291">
        <v>0</v>
      </c>
      <c r="Q291">
        <v>1</v>
      </c>
      <c r="T291" t="s">
        <v>832</v>
      </c>
      <c r="U291" t="s">
        <v>833</v>
      </c>
    </row>
    <row r="292" spans="1:21" hidden="1" x14ac:dyDescent="0.2">
      <c r="A292">
        <v>244</v>
      </c>
      <c r="B292" t="s">
        <v>125</v>
      </c>
      <c r="C292" t="s">
        <v>92</v>
      </c>
      <c r="D292" t="s">
        <v>775</v>
      </c>
      <c r="E292" t="s">
        <v>15</v>
      </c>
      <c r="F292" t="s">
        <v>779</v>
      </c>
      <c r="G292" t="s">
        <v>220</v>
      </c>
      <c r="H292" s="1">
        <v>45964</v>
      </c>
      <c r="I292" t="s">
        <v>701</v>
      </c>
      <c r="J292" t="s">
        <v>780</v>
      </c>
      <c r="K292">
        <v>5</v>
      </c>
      <c r="L292">
        <v>1</v>
      </c>
      <c r="M292">
        <v>1</v>
      </c>
      <c r="N292">
        <v>0</v>
      </c>
      <c r="O292">
        <v>1</v>
      </c>
      <c r="P292">
        <v>0</v>
      </c>
      <c r="Q292">
        <v>1</v>
      </c>
      <c r="R292" t="s">
        <v>202</v>
      </c>
      <c r="S292" t="s">
        <v>1262</v>
      </c>
      <c r="T292" t="s">
        <v>842</v>
      </c>
      <c r="U292" t="s">
        <v>843</v>
      </c>
    </row>
    <row r="293" spans="1:21" hidden="1" x14ac:dyDescent="0.2">
      <c r="A293">
        <v>248</v>
      </c>
      <c r="B293" t="s">
        <v>43</v>
      </c>
      <c r="C293" t="s">
        <v>92</v>
      </c>
      <c r="D293" t="s">
        <v>796</v>
      </c>
      <c r="E293" t="s">
        <v>797</v>
      </c>
      <c r="F293" t="s">
        <v>794</v>
      </c>
      <c r="G293" t="s">
        <v>36</v>
      </c>
      <c r="H293" s="1">
        <v>45965</v>
      </c>
      <c r="I293" t="s">
        <v>149</v>
      </c>
      <c r="J293" t="s">
        <v>798</v>
      </c>
      <c r="K293">
        <v>5</v>
      </c>
      <c r="L293">
        <v>1</v>
      </c>
      <c r="M293">
        <v>1</v>
      </c>
      <c r="N293">
        <v>1</v>
      </c>
      <c r="O293">
        <v>1</v>
      </c>
      <c r="P293">
        <v>1</v>
      </c>
      <c r="Q293">
        <v>1</v>
      </c>
      <c r="T293" t="s">
        <v>845</v>
      </c>
      <c r="U293" t="s">
        <v>846</v>
      </c>
    </row>
    <row r="294" spans="1:21" hidden="1" x14ac:dyDescent="0.2">
      <c r="A294">
        <v>246</v>
      </c>
      <c r="B294" t="s">
        <v>125</v>
      </c>
      <c r="C294" t="s">
        <v>92</v>
      </c>
      <c r="D294" t="s">
        <v>775</v>
      </c>
      <c r="E294" t="s">
        <v>433</v>
      </c>
      <c r="F294" t="s">
        <v>788</v>
      </c>
      <c r="G294" t="s">
        <v>17</v>
      </c>
      <c r="H294" s="1">
        <v>45965</v>
      </c>
      <c r="I294" t="s">
        <v>701</v>
      </c>
      <c r="J294" t="s">
        <v>789</v>
      </c>
      <c r="K294">
        <v>5</v>
      </c>
      <c r="L294">
        <v>1</v>
      </c>
      <c r="M294">
        <v>1</v>
      </c>
      <c r="N294">
        <v>0</v>
      </c>
      <c r="O294">
        <v>0</v>
      </c>
      <c r="P294">
        <v>0</v>
      </c>
      <c r="Q294">
        <v>1</v>
      </c>
      <c r="T294" t="s">
        <v>849</v>
      </c>
      <c r="U294" t="s">
        <v>850</v>
      </c>
    </row>
    <row r="295" spans="1:21" hidden="1" x14ac:dyDescent="0.2">
      <c r="A295">
        <v>246</v>
      </c>
      <c r="B295" t="s">
        <v>125</v>
      </c>
      <c r="C295" t="s">
        <v>92</v>
      </c>
      <c r="D295" t="s">
        <v>775</v>
      </c>
      <c r="E295" t="s">
        <v>192</v>
      </c>
      <c r="F295" t="s">
        <v>790</v>
      </c>
      <c r="G295" t="s">
        <v>17</v>
      </c>
      <c r="H295" s="1">
        <v>45965</v>
      </c>
      <c r="I295" t="s">
        <v>701</v>
      </c>
      <c r="J295" t="s">
        <v>791</v>
      </c>
      <c r="K295">
        <v>5</v>
      </c>
      <c r="L295">
        <v>1</v>
      </c>
      <c r="M295">
        <v>1</v>
      </c>
      <c r="N295">
        <v>0</v>
      </c>
      <c r="O295">
        <v>0</v>
      </c>
      <c r="P295">
        <v>0</v>
      </c>
      <c r="Q295">
        <v>1</v>
      </c>
      <c r="T295" t="s">
        <v>854</v>
      </c>
      <c r="U295" t="s">
        <v>855</v>
      </c>
    </row>
    <row r="296" spans="1:21" hidden="1" x14ac:dyDescent="0.2">
      <c r="A296">
        <v>245</v>
      </c>
      <c r="B296" t="s">
        <v>106</v>
      </c>
      <c r="C296" t="s">
        <v>92</v>
      </c>
      <c r="D296" t="s">
        <v>782</v>
      </c>
      <c r="E296" t="s">
        <v>62</v>
      </c>
      <c r="F296" t="s">
        <v>755</v>
      </c>
      <c r="G296" t="s">
        <v>200</v>
      </c>
      <c r="H296" s="1">
        <v>45965</v>
      </c>
      <c r="I296" t="s">
        <v>783</v>
      </c>
      <c r="J296" t="s">
        <v>784</v>
      </c>
      <c r="K296">
        <v>5</v>
      </c>
      <c r="L296">
        <v>0</v>
      </c>
      <c r="M296">
        <v>0</v>
      </c>
      <c r="N296">
        <v>0</v>
      </c>
      <c r="O296">
        <v>1</v>
      </c>
      <c r="P296">
        <v>0</v>
      </c>
      <c r="Q296">
        <v>1</v>
      </c>
      <c r="R296" t="s">
        <v>761</v>
      </c>
      <c r="S296" t="s">
        <v>785</v>
      </c>
      <c r="T296" t="s">
        <v>849</v>
      </c>
      <c r="U296" t="s">
        <v>857</v>
      </c>
    </row>
    <row r="297" spans="1:21" hidden="1" x14ac:dyDescent="0.2">
      <c r="A297">
        <v>249</v>
      </c>
      <c r="B297" t="s">
        <v>125</v>
      </c>
      <c r="C297" t="s">
        <v>92</v>
      </c>
      <c r="D297" t="s">
        <v>799</v>
      </c>
      <c r="E297" t="s">
        <v>433</v>
      </c>
      <c r="F297" t="s">
        <v>800</v>
      </c>
      <c r="G297" t="s">
        <v>17</v>
      </c>
      <c r="H297" s="1">
        <v>45966</v>
      </c>
      <c r="I297" t="s">
        <v>701</v>
      </c>
      <c r="J297" t="s">
        <v>801</v>
      </c>
      <c r="K297">
        <v>5</v>
      </c>
      <c r="L297">
        <v>1</v>
      </c>
      <c r="M297">
        <v>1</v>
      </c>
      <c r="N297">
        <v>0</v>
      </c>
      <c r="O297">
        <v>1</v>
      </c>
      <c r="P297">
        <v>0</v>
      </c>
      <c r="Q297">
        <v>1</v>
      </c>
      <c r="T297" t="s">
        <v>326</v>
      </c>
      <c r="U297" t="s">
        <v>859</v>
      </c>
    </row>
    <row r="298" spans="1:21" hidden="1" x14ac:dyDescent="0.2">
      <c r="A298">
        <v>253</v>
      </c>
      <c r="B298" t="s">
        <v>125</v>
      </c>
      <c r="C298" t="s">
        <v>92</v>
      </c>
      <c r="D298" t="s">
        <v>802</v>
      </c>
      <c r="E298" t="s">
        <v>192</v>
      </c>
      <c r="F298" t="s">
        <v>803</v>
      </c>
      <c r="G298" t="s">
        <v>17</v>
      </c>
      <c r="H298" s="1">
        <v>45967</v>
      </c>
      <c r="I298" t="s">
        <v>701</v>
      </c>
      <c r="J298" t="s">
        <v>804</v>
      </c>
      <c r="K298">
        <v>5</v>
      </c>
      <c r="L298">
        <v>1</v>
      </c>
      <c r="M298">
        <v>1</v>
      </c>
      <c r="N298">
        <v>0</v>
      </c>
      <c r="O298">
        <v>1</v>
      </c>
      <c r="P298">
        <v>0</v>
      </c>
      <c r="Q298">
        <v>1</v>
      </c>
      <c r="T298" t="s">
        <v>860</v>
      </c>
      <c r="U298" t="s">
        <v>861</v>
      </c>
    </row>
    <row r="299" spans="1:21" hidden="1" x14ac:dyDescent="0.2">
      <c r="A299">
        <v>253</v>
      </c>
      <c r="B299" t="s">
        <v>125</v>
      </c>
      <c r="C299" t="s">
        <v>92</v>
      </c>
      <c r="D299" t="s">
        <v>802</v>
      </c>
      <c r="E299" t="s">
        <v>15</v>
      </c>
      <c r="F299" t="s">
        <v>779</v>
      </c>
      <c r="G299" t="s">
        <v>17</v>
      </c>
      <c r="H299" s="1">
        <v>45967</v>
      </c>
      <c r="I299" t="s">
        <v>701</v>
      </c>
      <c r="J299" t="s">
        <v>805</v>
      </c>
      <c r="K299">
        <v>5</v>
      </c>
      <c r="L299">
        <v>1</v>
      </c>
      <c r="M299">
        <v>1</v>
      </c>
      <c r="N299">
        <v>0</v>
      </c>
      <c r="O299">
        <v>1</v>
      </c>
      <c r="P299">
        <v>0</v>
      </c>
      <c r="Q299">
        <v>1</v>
      </c>
      <c r="T299" t="s">
        <v>284</v>
      </c>
      <c r="U299" t="s">
        <v>864</v>
      </c>
    </row>
    <row r="300" spans="1:21" hidden="1" x14ac:dyDescent="0.2">
      <c r="A300">
        <v>255</v>
      </c>
      <c r="B300" t="s">
        <v>65</v>
      </c>
      <c r="C300" t="s">
        <v>92</v>
      </c>
      <c r="D300" t="s">
        <v>808</v>
      </c>
      <c r="E300" t="s">
        <v>66</v>
      </c>
      <c r="F300" t="s">
        <v>70</v>
      </c>
      <c r="G300" t="s">
        <v>17</v>
      </c>
      <c r="H300" s="1">
        <v>45968</v>
      </c>
      <c r="I300" t="s">
        <v>68</v>
      </c>
      <c r="J300" t="s">
        <v>809</v>
      </c>
      <c r="K300">
        <v>4</v>
      </c>
      <c r="L300">
        <v>1</v>
      </c>
      <c r="M300">
        <v>0</v>
      </c>
      <c r="N300">
        <v>0</v>
      </c>
      <c r="O300">
        <v>0</v>
      </c>
      <c r="P300">
        <v>0</v>
      </c>
      <c r="Q300">
        <v>1</v>
      </c>
      <c r="T300" t="s">
        <v>284</v>
      </c>
      <c r="U300" t="s">
        <v>875</v>
      </c>
    </row>
    <row r="301" spans="1:21" hidden="1" x14ac:dyDescent="0.2">
      <c r="A301">
        <v>255</v>
      </c>
      <c r="B301" t="s">
        <v>65</v>
      </c>
      <c r="C301" t="s">
        <v>92</v>
      </c>
      <c r="D301" t="s">
        <v>808</v>
      </c>
      <c r="E301" t="s">
        <v>66</v>
      </c>
      <c r="F301" t="s">
        <v>138</v>
      </c>
      <c r="G301" t="s">
        <v>17</v>
      </c>
      <c r="H301" s="1">
        <v>45968</v>
      </c>
      <c r="I301" t="s">
        <v>68</v>
      </c>
      <c r="J301" t="s">
        <v>810</v>
      </c>
      <c r="K301">
        <v>4</v>
      </c>
      <c r="L301">
        <v>1</v>
      </c>
      <c r="M301">
        <v>0</v>
      </c>
      <c r="N301">
        <v>0</v>
      </c>
      <c r="O301">
        <v>0</v>
      </c>
      <c r="P301">
        <v>0</v>
      </c>
      <c r="Q301">
        <v>1</v>
      </c>
      <c r="T301" t="s">
        <v>849</v>
      </c>
      <c r="U301" t="s">
        <v>901</v>
      </c>
    </row>
    <row r="302" spans="1:21" hidden="1" x14ac:dyDescent="0.2">
      <c r="A302">
        <v>254</v>
      </c>
      <c r="B302" t="s">
        <v>125</v>
      </c>
      <c r="C302" t="s">
        <v>92</v>
      </c>
      <c r="D302" t="s">
        <v>806</v>
      </c>
      <c r="E302" t="s">
        <v>15</v>
      </c>
      <c r="F302" t="s">
        <v>779</v>
      </c>
      <c r="G302" t="s">
        <v>17</v>
      </c>
      <c r="H302" s="1">
        <v>45968</v>
      </c>
      <c r="I302" t="s">
        <v>701</v>
      </c>
      <c r="J302" t="s">
        <v>807</v>
      </c>
      <c r="K302">
        <v>5</v>
      </c>
      <c r="L302">
        <v>1</v>
      </c>
      <c r="M302">
        <v>1</v>
      </c>
      <c r="N302">
        <v>0</v>
      </c>
      <c r="O302">
        <v>1</v>
      </c>
      <c r="P302">
        <v>0</v>
      </c>
      <c r="Q302">
        <v>1</v>
      </c>
      <c r="T302" t="s">
        <v>403</v>
      </c>
      <c r="U302" t="s">
        <v>326</v>
      </c>
    </row>
    <row r="303" spans="1:21" hidden="1" x14ac:dyDescent="0.2">
      <c r="A303">
        <v>258</v>
      </c>
      <c r="B303" t="s">
        <v>13</v>
      </c>
      <c r="C303" t="s">
        <v>92</v>
      </c>
      <c r="D303" t="s">
        <v>50</v>
      </c>
      <c r="E303" t="s">
        <v>15</v>
      </c>
      <c r="F303" t="s">
        <v>57</v>
      </c>
      <c r="G303" t="s">
        <v>17</v>
      </c>
      <c r="H303" s="1">
        <v>45971</v>
      </c>
      <c r="I303" t="s">
        <v>127</v>
      </c>
      <c r="J303" t="s">
        <v>817</v>
      </c>
      <c r="K303">
        <v>5</v>
      </c>
      <c r="L303">
        <v>1</v>
      </c>
      <c r="M303">
        <v>0</v>
      </c>
      <c r="N303">
        <v>0</v>
      </c>
      <c r="O303">
        <v>1</v>
      </c>
      <c r="P303">
        <v>0</v>
      </c>
      <c r="Q303">
        <v>1</v>
      </c>
      <c r="T303" t="s">
        <v>893</v>
      </c>
      <c r="U303" t="s">
        <v>894</v>
      </c>
    </row>
    <row r="304" spans="1:21" hidden="1" x14ac:dyDescent="0.2">
      <c r="A304">
        <v>258</v>
      </c>
      <c r="B304" t="s">
        <v>13</v>
      </c>
      <c r="C304" t="s">
        <v>92</v>
      </c>
      <c r="D304" t="s">
        <v>50</v>
      </c>
      <c r="E304" t="s">
        <v>15</v>
      </c>
      <c r="F304" t="s">
        <v>20</v>
      </c>
      <c r="G304" t="s">
        <v>17</v>
      </c>
      <c r="H304" s="1">
        <v>45971</v>
      </c>
      <c r="I304" t="s">
        <v>127</v>
      </c>
      <c r="J304" t="s">
        <v>818</v>
      </c>
      <c r="K304">
        <v>5</v>
      </c>
      <c r="L304">
        <v>1</v>
      </c>
      <c r="M304">
        <v>0</v>
      </c>
      <c r="N304">
        <v>0</v>
      </c>
      <c r="O304">
        <v>1</v>
      </c>
      <c r="P304">
        <v>0</v>
      </c>
      <c r="Q304">
        <v>1</v>
      </c>
      <c r="T304" t="s">
        <v>912</v>
      </c>
      <c r="U304" t="s">
        <v>403</v>
      </c>
    </row>
    <row r="305" spans="1:21" ht="128" hidden="1" x14ac:dyDescent="0.2">
      <c r="A305">
        <v>258</v>
      </c>
      <c r="B305" t="s">
        <v>13</v>
      </c>
      <c r="C305" t="s">
        <v>92</v>
      </c>
      <c r="D305" t="s">
        <v>50</v>
      </c>
      <c r="E305" t="s">
        <v>15</v>
      </c>
      <c r="F305" t="s">
        <v>168</v>
      </c>
      <c r="G305" t="s">
        <v>210</v>
      </c>
      <c r="H305" s="1">
        <v>45971</v>
      </c>
      <c r="I305" t="s">
        <v>127</v>
      </c>
      <c r="J305" s="3" t="s">
        <v>819</v>
      </c>
      <c r="K305">
        <v>5</v>
      </c>
      <c r="L305">
        <v>1</v>
      </c>
      <c r="M305">
        <v>0</v>
      </c>
      <c r="N305">
        <v>0</v>
      </c>
      <c r="O305">
        <v>1</v>
      </c>
      <c r="P305">
        <v>0</v>
      </c>
      <c r="Q305">
        <v>1</v>
      </c>
      <c r="R305" t="s">
        <v>329</v>
      </c>
      <c r="S305" t="s">
        <v>590</v>
      </c>
      <c r="T305" t="s">
        <v>915</v>
      </c>
      <c r="U305" t="s">
        <v>403</v>
      </c>
    </row>
    <row r="306" spans="1:21" hidden="1" x14ac:dyDescent="0.2">
      <c r="A306">
        <v>257</v>
      </c>
      <c r="B306" t="s">
        <v>43</v>
      </c>
      <c r="C306" t="s">
        <v>92</v>
      </c>
      <c r="D306" t="s">
        <v>802</v>
      </c>
      <c r="E306" t="s">
        <v>62</v>
      </c>
      <c r="F306" t="s">
        <v>811</v>
      </c>
      <c r="G306" t="s">
        <v>47</v>
      </c>
      <c r="H306" s="1">
        <v>45971</v>
      </c>
      <c r="I306" t="s">
        <v>48</v>
      </c>
      <c r="J306" t="s">
        <v>812</v>
      </c>
      <c r="K306">
        <v>5</v>
      </c>
      <c r="L306">
        <v>0</v>
      </c>
      <c r="M306">
        <v>0</v>
      </c>
      <c r="N306">
        <v>0</v>
      </c>
      <c r="O306">
        <v>1</v>
      </c>
      <c r="P306">
        <v>0</v>
      </c>
      <c r="Q306">
        <v>1</v>
      </c>
      <c r="T306" t="s">
        <v>917</v>
      </c>
      <c r="U306" t="s">
        <v>403</v>
      </c>
    </row>
    <row r="307" spans="1:21" hidden="1" x14ac:dyDescent="0.2">
      <c r="A307">
        <v>257</v>
      </c>
      <c r="B307" t="s">
        <v>43</v>
      </c>
      <c r="C307" t="s">
        <v>92</v>
      </c>
      <c r="D307" t="s">
        <v>802</v>
      </c>
      <c r="E307" t="s">
        <v>62</v>
      </c>
      <c r="F307" t="s">
        <v>63</v>
      </c>
      <c r="G307" t="s">
        <v>47</v>
      </c>
      <c r="H307" s="1">
        <v>45971</v>
      </c>
      <c r="I307" t="s">
        <v>48</v>
      </c>
      <c r="J307" t="s">
        <v>813</v>
      </c>
      <c r="K307">
        <v>5</v>
      </c>
      <c r="L307">
        <v>0</v>
      </c>
      <c r="M307">
        <v>0</v>
      </c>
      <c r="N307">
        <v>0</v>
      </c>
      <c r="O307">
        <v>1</v>
      </c>
      <c r="P307">
        <v>0</v>
      </c>
      <c r="Q307">
        <v>1</v>
      </c>
      <c r="T307" t="s">
        <v>919</v>
      </c>
      <c r="U307" t="s">
        <v>403</v>
      </c>
    </row>
    <row r="308" spans="1:21" hidden="1" x14ac:dyDescent="0.2">
      <c r="A308">
        <v>257</v>
      </c>
      <c r="B308" t="s">
        <v>43</v>
      </c>
      <c r="C308" t="s">
        <v>92</v>
      </c>
      <c r="D308" t="s">
        <v>802</v>
      </c>
      <c r="E308" t="s">
        <v>62</v>
      </c>
      <c r="F308" t="s">
        <v>219</v>
      </c>
      <c r="G308" t="s">
        <v>220</v>
      </c>
      <c r="H308" s="1">
        <v>45971</v>
      </c>
      <c r="I308" t="s">
        <v>48</v>
      </c>
      <c r="J308" t="s">
        <v>814</v>
      </c>
      <c r="K308">
        <v>5</v>
      </c>
      <c r="L308">
        <v>0</v>
      </c>
      <c r="M308">
        <v>0</v>
      </c>
      <c r="N308">
        <v>0</v>
      </c>
      <c r="O308">
        <v>1</v>
      </c>
      <c r="P308">
        <v>0</v>
      </c>
      <c r="Q308">
        <v>1</v>
      </c>
      <c r="R308" t="s">
        <v>606</v>
      </c>
      <c r="S308" t="s">
        <v>326</v>
      </c>
      <c r="T308" t="s">
        <v>920</v>
      </c>
      <c r="U308" t="s">
        <v>403</v>
      </c>
    </row>
    <row r="309" spans="1:21" hidden="1" x14ac:dyDescent="0.2">
      <c r="A309">
        <v>257</v>
      </c>
      <c r="B309" t="s">
        <v>43</v>
      </c>
      <c r="C309" t="s">
        <v>92</v>
      </c>
      <c r="D309" t="s">
        <v>802</v>
      </c>
      <c r="E309" t="s">
        <v>62</v>
      </c>
      <c r="F309" t="s">
        <v>816</v>
      </c>
      <c r="G309" t="s">
        <v>220</v>
      </c>
      <c r="H309" s="1">
        <v>45971</v>
      </c>
      <c r="I309" t="s">
        <v>48</v>
      </c>
      <c r="J309" t="s">
        <v>814</v>
      </c>
      <c r="K309">
        <v>5</v>
      </c>
      <c r="L309">
        <v>0</v>
      </c>
      <c r="M309">
        <v>0</v>
      </c>
      <c r="N309">
        <v>0</v>
      </c>
      <c r="O309">
        <v>1</v>
      </c>
      <c r="P309">
        <v>0</v>
      </c>
      <c r="Q309">
        <v>1</v>
      </c>
      <c r="R309" t="s">
        <v>606</v>
      </c>
      <c r="S309" t="s">
        <v>326</v>
      </c>
      <c r="T309" t="s">
        <v>922</v>
      </c>
      <c r="U309" t="s">
        <v>403</v>
      </c>
    </row>
    <row r="310" spans="1:21" hidden="1" x14ac:dyDescent="0.2">
      <c r="A310">
        <v>260</v>
      </c>
      <c r="B310" t="s">
        <v>13</v>
      </c>
      <c r="C310" t="s">
        <v>92</v>
      </c>
      <c r="D310" t="s">
        <v>943</v>
      </c>
      <c r="E310" t="s">
        <v>15</v>
      </c>
      <c r="F310" t="s">
        <v>59</v>
      </c>
      <c r="G310" t="s">
        <v>17</v>
      </c>
      <c r="H310" s="1">
        <v>45972</v>
      </c>
      <c r="I310" t="s">
        <v>127</v>
      </c>
      <c r="J310" t="s">
        <v>944</v>
      </c>
      <c r="K310">
        <v>5</v>
      </c>
      <c r="L310">
        <v>1</v>
      </c>
      <c r="M310">
        <v>1</v>
      </c>
      <c r="N310">
        <v>0</v>
      </c>
      <c r="O310">
        <v>0</v>
      </c>
      <c r="P310">
        <v>0</v>
      </c>
      <c r="Q310">
        <v>0</v>
      </c>
    </row>
    <row r="311" spans="1:21" hidden="1" x14ac:dyDescent="0.2">
      <c r="A311">
        <v>260</v>
      </c>
      <c r="B311" t="s">
        <v>13</v>
      </c>
      <c r="C311" t="s">
        <v>92</v>
      </c>
      <c r="D311" t="s">
        <v>943</v>
      </c>
      <c r="E311" t="s">
        <v>15</v>
      </c>
      <c r="F311" t="s">
        <v>779</v>
      </c>
      <c r="G311" t="s">
        <v>220</v>
      </c>
      <c r="H311" s="1">
        <v>45972</v>
      </c>
      <c r="I311" t="s">
        <v>127</v>
      </c>
      <c r="J311" t="s">
        <v>961</v>
      </c>
      <c r="K311">
        <v>5</v>
      </c>
      <c r="L311">
        <v>1</v>
      </c>
      <c r="M311">
        <v>1</v>
      </c>
      <c r="N311">
        <v>0</v>
      </c>
      <c r="O311">
        <v>0</v>
      </c>
      <c r="P311">
        <v>0</v>
      </c>
      <c r="Q311">
        <v>0</v>
      </c>
      <c r="R311" t="s">
        <v>222</v>
      </c>
      <c r="S311" t="s">
        <v>962</v>
      </c>
    </row>
    <row r="312" spans="1:21" hidden="1" x14ac:dyDescent="0.2">
      <c r="A312">
        <v>260</v>
      </c>
      <c r="B312" t="s">
        <v>13</v>
      </c>
      <c r="C312" t="s">
        <v>92</v>
      </c>
      <c r="D312" t="s">
        <v>943</v>
      </c>
      <c r="E312" t="s">
        <v>15</v>
      </c>
      <c r="F312" t="s">
        <v>779</v>
      </c>
      <c r="G312" t="s">
        <v>220</v>
      </c>
      <c r="H312" s="1">
        <v>45972</v>
      </c>
      <c r="I312" t="s">
        <v>127</v>
      </c>
      <c r="J312" t="s">
        <v>961</v>
      </c>
      <c r="K312">
        <v>5</v>
      </c>
      <c r="L312">
        <v>1</v>
      </c>
      <c r="M312">
        <v>1</v>
      </c>
      <c r="N312">
        <v>0</v>
      </c>
      <c r="O312">
        <v>0</v>
      </c>
      <c r="P312">
        <v>0</v>
      </c>
      <c r="Q312">
        <v>0</v>
      </c>
      <c r="R312" t="s">
        <v>202</v>
      </c>
      <c r="S312" t="s">
        <v>965</v>
      </c>
    </row>
    <row r="313" spans="1:21" hidden="1" x14ac:dyDescent="0.2">
      <c r="A313">
        <v>263</v>
      </c>
      <c r="B313" t="s">
        <v>22</v>
      </c>
      <c r="C313" t="s">
        <v>92</v>
      </c>
      <c r="D313" t="s">
        <v>976</v>
      </c>
      <c r="E313" t="s">
        <v>969</v>
      </c>
      <c r="F313" t="s">
        <v>977</v>
      </c>
      <c r="G313" t="s">
        <v>220</v>
      </c>
      <c r="H313" s="1">
        <v>45973</v>
      </c>
      <c r="I313" t="s">
        <v>978</v>
      </c>
      <c r="J313" t="s">
        <v>979</v>
      </c>
      <c r="K313">
        <v>5</v>
      </c>
      <c r="L313">
        <v>1</v>
      </c>
      <c r="M313">
        <v>1</v>
      </c>
      <c r="N313">
        <v>1</v>
      </c>
      <c r="O313">
        <v>1</v>
      </c>
      <c r="P313">
        <v>1</v>
      </c>
      <c r="Q313">
        <v>1</v>
      </c>
      <c r="R313" t="s">
        <v>365</v>
      </c>
      <c r="S313" t="s">
        <v>980</v>
      </c>
    </row>
    <row r="314" spans="1:21" hidden="1" x14ac:dyDescent="0.2">
      <c r="A314">
        <v>262</v>
      </c>
      <c r="B314" t="s">
        <v>13</v>
      </c>
      <c r="C314" t="s">
        <v>92</v>
      </c>
      <c r="D314" t="s">
        <v>834</v>
      </c>
      <c r="E314" t="s">
        <v>15</v>
      </c>
      <c r="F314" t="s">
        <v>779</v>
      </c>
      <c r="G314" t="s">
        <v>17</v>
      </c>
      <c r="H314" s="1">
        <v>45973</v>
      </c>
      <c r="I314" t="s">
        <v>127</v>
      </c>
      <c r="J314" t="s">
        <v>945</v>
      </c>
      <c r="K314">
        <v>5</v>
      </c>
      <c r="L314">
        <v>1</v>
      </c>
      <c r="M314">
        <v>0</v>
      </c>
      <c r="N314">
        <v>0</v>
      </c>
      <c r="O314">
        <v>1</v>
      </c>
      <c r="P314">
        <v>0</v>
      </c>
      <c r="Q314">
        <v>1</v>
      </c>
    </row>
    <row r="315" spans="1:21" ht="409.6" hidden="1" x14ac:dyDescent="0.2">
      <c r="A315">
        <v>262</v>
      </c>
      <c r="B315" t="s">
        <v>13</v>
      </c>
      <c r="C315" t="s">
        <v>92</v>
      </c>
      <c r="D315" t="s">
        <v>834</v>
      </c>
      <c r="E315" t="s">
        <v>192</v>
      </c>
      <c r="F315" t="s">
        <v>946</v>
      </c>
      <c r="G315" t="s">
        <v>17</v>
      </c>
      <c r="H315" s="1">
        <v>45973</v>
      </c>
      <c r="I315" t="s">
        <v>127</v>
      </c>
      <c r="J315" s="3" t="s">
        <v>947</v>
      </c>
      <c r="K315">
        <v>5</v>
      </c>
      <c r="L315">
        <v>1</v>
      </c>
      <c r="M315">
        <v>0</v>
      </c>
      <c r="N315">
        <v>0</v>
      </c>
      <c r="O315">
        <v>1</v>
      </c>
      <c r="P315">
        <v>0</v>
      </c>
      <c r="Q315">
        <v>1</v>
      </c>
    </row>
    <row r="316" spans="1:21" hidden="1" x14ac:dyDescent="0.2">
      <c r="A316">
        <v>270</v>
      </c>
      <c r="B316" t="s">
        <v>967</v>
      </c>
      <c r="C316" t="s">
        <v>92</v>
      </c>
      <c r="D316" t="s">
        <v>968</v>
      </c>
      <c r="E316" t="s">
        <v>969</v>
      </c>
      <c r="F316" t="s">
        <v>970</v>
      </c>
      <c r="G316" t="s">
        <v>220</v>
      </c>
      <c r="H316" s="1">
        <v>45974</v>
      </c>
      <c r="I316" t="s">
        <v>971</v>
      </c>
      <c r="J316" t="s">
        <v>972</v>
      </c>
      <c r="K316">
        <v>5</v>
      </c>
      <c r="L316">
        <v>1</v>
      </c>
      <c r="M316">
        <v>1</v>
      </c>
      <c r="N316">
        <v>1</v>
      </c>
      <c r="O316">
        <v>1</v>
      </c>
      <c r="P316">
        <v>1</v>
      </c>
      <c r="Q316">
        <v>1</v>
      </c>
      <c r="R316" t="s">
        <v>351</v>
      </c>
      <c r="S316" t="s">
        <v>973</v>
      </c>
    </row>
    <row r="317" spans="1:21" hidden="1" x14ac:dyDescent="0.2">
      <c r="A317">
        <v>267</v>
      </c>
      <c r="B317" t="s">
        <v>65</v>
      </c>
      <c r="C317" t="s">
        <v>92</v>
      </c>
      <c r="D317" t="s">
        <v>952</v>
      </c>
      <c r="E317" t="s">
        <v>66</v>
      </c>
      <c r="F317" t="s">
        <v>140</v>
      </c>
      <c r="G317" t="s">
        <v>17</v>
      </c>
      <c r="H317" s="1">
        <v>45974</v>
      </c>
      <c r="I317" t="s">
        <v>68</v>
      </c>
      <c r="J317" t="s">
        <v>953</v>
      </c>
      <c r="K317">
        <v>5</v>
      </c>
      <c r="L317">
        <v>0</v>
      </c>
      <c r="M317">
        <v>0</v>
      </c>
      <c r="N317">
        <v>0</v>
      </c>
      <c r="O317">
        <v>0</v>
      </c>
      <c r="P317">
        <v>0</v>
      </c>
      <c r="Q317">
        <v>0</v>
      </c>
    </row>
    <row r="318" spans="1:21" hidden="1" x14ac:dyDescent="0.2">
      <c r="A318">
        <v>267</v>
      </c>
      <c r="B318" t="s">
        <v>65</v>
      </c>
      <c r="C318" t="s">
        <v>92</v>
      </c>
      <c r="D318" t="s">
        <v>952</v>
      </c>
      <c r="E318" t="s">
        <v>66</v>
      </c>
      <c r="F318" t="s">
        <v>71</v>
      </c>
      <c r="G318" t="s">
        <v>17</v>
      </c>
      <c r="H318" s="1">
        <v>45974</v>
      </c>
      <c r="I318" t="s">
        <v>68</v>
      </c>
      <c r="J318" t="s">
        <v>954</v>
      </c>
      <c r="K318">
        <v>5</v>
      </c>
      <c r="L318">
        <v>0</v>
      </c>
      <c r="M318">
        <v>0</v>
      </c>
      <c r="N318">
        <v>0</v>
      </c>
      <c r="O318">
        <v>0</v>
      </c>
      <c r="P318">
        <v>0</v>
      </c>
      <c r="Q318">
        <v>0</v>
      </c>
    </row>
    <row r="319" spans="1:21" ht="192" hidden="1" x14ac:dyDescent="0.2">
      <c r="A319">
        <v>266</v>
      </c>
      <c r="B319" t="s">
        <v>13</v>
      </c>
      <c r="C319" t="s">
        <v>92</v>
      </c>
      <c r="D319" t="s">
        <v>834</v>
      </c>
      <c r="E319" t="s">
        <v>15</v>
      </c>
      <c r="F319" t="s">
        <v>57</v>
      </c>
      <c r="G319" t="s">
        <v>17</v>
      </c>
      <c r="H319" s="1">
        <v>45974</v>
      </c>
      <c r="I319" t="s">
        <v>127</v>
      </c>
      <c r="J319" s="3" t="s">
        <v>948</v>
      </c>
      <c r="K319">
        <v>5</v>
      </c>
      <c r="L319">
        <v>1</v>
      </c>
      <c r="M319">
        <v>1</v>
      </c>
      <c r="N319">
        <v>0</v>
      </c>
      <c r="O319">
        <v>1</v>
      </c>
      <c r="P319">
        <v>0</v>
      </c>
      <c r="Q319">
        <v>1</v>
      </c>
    </row>
    <row r="320" spans="1:21" hidden="1" x14ac:dyDescent="0.2">
      <c r="A320">
        <v>266</v>
      </c>
      <c r="B320" t="s">
        <v>13</v>
      </c>
      <c r="C320" t="s">
        <v>92</v>
      </c>
      <c r="D320" t="s">
        <v>834</v>
      </c>
      <c r="E320" t="s">
        <v>15</v>
      </c>
      <c r="F320" t="s">
        <v>59</v>
      </c>
      <c r="G320" t="s">
        <v>17</v>
      </c>
      <c r="H320" s="1">
        <v>45974</v>
      </c>
      <c r="I320" t="s">
        <v>127</v>
      </c>
      <c r="J320" t="s">
        <v>949</v>
      </c>
      <c r="K320">
        <v>5</v>
      </c>
      <c r="L320">
        <v>1</v>
      </c>
      <c r="M320">
        <v>1</v>
      </c>
      <c r="N320">
        <v>0</v>
      </c>
      <c r="O320">
        <v>1</v>
      </c>
      <c r="P320">
        <v>0</v>
      </c>
      <c r="Q320">
        <v>1</v>
      </c>
    </row>
    <row r="321" spans="1:19" hidden="1" x14ac:dyDescent="0.2">
      <c r="A321">
        <v>266</v>
      </c>
      <c r="B321" t="s">
        <v>13</v>
      </c>
      <c r="C321" t="s">
        <v>92</v>
      </c>
      <c r="D321" t="s">
        <v>834</v>
      </c>
      <c r="E321" t="s">
        <v>15</v>
      </c>
      <c r="F321" t="s">
        <v>126</v>
      </c>
      <c r="G321" t="s">
        <v>17</v>
      </c>
      <c r="H321" s="1">
        <v>45974</v>
      </c>
      <c r="I321" t="s">
        <v>127</v>
      </c>
      <c r="J321" t="s">
        <v>950</v>
      </c>
      <c r="K321">
        <v>5</v>
      </c>
      <c r="L321">
        <v>1</v>
      </c>
      <c r="M321">
        <v>1</v>
      </c>
      <c r="N321">
        <v>0</v>
      </c>
      <c r="O321">
        <v>1</v>
      </c>
      <c r="P321">
        <v>0</v>
      </c>
      <c r="Q321">
        <v>1</v>
      </c>
    </row>
    <row r="322" spans="1:19" hidden="1" x14ac:dyDescent="0.2">
      <c r="A322">
        <v>266</v>
      </c>
      <c r="B322" t="s">
        <v>13</v>
      </c>
      <c r="C322" t="s">
        <v>92</v>
      </c>
      <c r="D322" t="s">
        <v>834</v>
      </c>
      <c r="E322" t="s">
        <v>15</v>
      </c>
      <c r="F322" t="s">
        <v>779</v>
      </c>
      <c r="G322" t="s">
        <v>17</v>
      </c>
      <c r="H322" s="1">
        <v>45974</v>
      </c>
      <c r="I322" t="s">
        <v>127</v>
      </c>
      <c r="J322" t="s">
        <v>951</v>
      </c>
      <c r="K322">
        <v>5</v>
      </c>
      <c r="L322">
        <v>1</v>
      </c>
      <c r="M322">
        <v>1</v>
      </c>
      <c r="N322">
        <v>0</v>
      </c>
      <c r="O322">
        <v>1</v>
      </c>
      <c r="P322">
        <v>0</v>
      </c>
      <c r="Q322">
        <v>1</v>
      </c>
    </row>
    <row r="323" spans="1:19" hidden="1" x14ac:dyDescent="0.2">
      <c r="A323">
        <v>268</v>
      </c>
      <c r="B323" t="s">
        <v>65</v>
      </c>
      <c r="C323" t="s">
        <v>92</v>
      </c>
      <c r="D323" t="s">
        <v>955</v>
      </c>
      <c r="E323" t="s">
        <v>66</v>
      </c>
      <c r="F323" t="s">
        <v>70</v>
      </c>
      <c r="G323" t="s">
        <v>17</v>
      </c>
      <c r="H323" s="1">
        <v>45975</v>
      </c>
      <c r="I323" t="s">
        <v>68</v>
      </c>
      <c r="J323" t="s">
        <v>1268</v>
      </c>
      <c r="K323">
        <v>5</v>
      </c>
      <c r="L323">
        <v>1</v>
      </c>
      <c r="M323">
        <v>1</v>
      </c>
      <c r="N323">
        <v>0</v>
      </c>
      <c r="O323">
        <v>0</v>
      </c>
      <c r="P323">
        <v>0</v>
      </c>
      <c r="Q323">
        <v>1</v>
      </c>
    </row>
    <row r="324" spans="1:19" hidden="1" x14ac:dyDescent="0.2">
      <c r="A324">
        <v>272</v>
      </c>
      <c r="B324" t="s">
        <v>125</v>
      </c>
      <c r="C324" t="s">
        <v>92</v>
      </c>
      <c r="D324" t="s">
        <v>50</v>
      </c>
      <c r="E324" t="s">
        <v>15</v>
      </c>
      <c r="F324" t="s">
        <v>779</v>
      </c>
      <c r="G324" t="s">
        <v>17</v>
      </c>
      <c r="H324" s="1">
        <v>45978</v>
      </c>
      <c r="I324" t="s">
        <v>701</v>
      </c>
      <c r="J324" t="s">
        <v>956</v>
      </c>
      <c r="K324">
        <v>5</v>
      </c>
      <c r="L324">
        <v>1</v>
      </c>
      <c r="M324">
        <v>1</v>
      </c>
      <c r="N324">
        <v>0</v>
      </c>
      <c r="O324">
        <v>1</v>
      </c>
      <c r="P324">
        <v>0</v>
      </c>
      <c r="Q324">
        <v>1</v>
      </c>
    </row>
    <row r="325" spans="1:19" hidden="1" x14ac:dyDescent="0.2">
      <c r="A325">
        <v>272</v>
      </c>
      <c r="B325" t="s">
        <v>125</v>
      </c>
      <c r="C325" t="s">
        <v>92</v>
      </c>
      <c r="D325" t="s">
        <v>50</v>
      </c>
      <c r="E325" t="s">
        <v>15</v>
      </c>
      <c r="F325" t="s">
        <v>508</v>
      </c>
      <c r="G325" t="s">
        <v>17</v>
      </c>
      <c r="H325" s="1">
        <v>45978</v>
      </c>
      <c r="I325" t="s">
        <v>701</v>
      </c>
      <c r="J325" t="s">
        <v>957</v>
      </c>
      <c r="K325">
        <v>5</v>
      </c>
      <c r="L325">
        <v>1</v>
      </c>
      <c r="M325">
        <v>1</v>
      </c>
      <c r="N325">
        <v>0</v>
      </c>
      <c r="O325">
        <v>1</v>
      </c>
      <c r="P325">
        <v>0</v>
      </c>
      <c r="Q325">
        <v>1</v>
      </c>
    </row>
    <row r="326" spans="1:19" hidden="1" x14ac:dyDescent="0.2">
      <c r="A326">
        <v>272</v>
      </c>
      <c r="B326" t="s">
        <v>125</v>
      </c>
      <c r="C326" t="s">
        <v>92</v>
      </c>
      <c r="D326" t="s">
        <v>50</v>
      </c>
      <c r="E326" t="s">
        <v>15</v>
      </c>
      <c r="F326" t="s">
        <v>170</v>
      </c>
      <c r="G326" t="s">
        <v>17</v>
      </c>
      <c r="H326" s="1">
        <v>45978</v>
      </c>
      <c r="I326" t="s">
        <v>701</v>
      </c>
      <c r="J326" t="s">
        <v>958</v>
      </c>
      <c r="K326">
        <v>5</v>
      </c>
      <c r="L326">
        <v>1</v>
      </c>
      <c r="M326">
        <v>1</v>
      </c>
      <c r="N326">
        <v>0</v>
      </c>
      <c r="O326">
        <v>1</v>
      </c>
      <c r="P326">
        <v>0</v>
      </c>
      <c r="Q326">
        <v>1</v>
      </c>
    </row>
    <row r="327" spans="1:19" hidden="1" x14ac:dyDescent="0.2">
      <c r="A327">
        <v>272</v>
      </c>
      <c r="B327" t="s">
        <v>125</v>
      </c>
      <c r="C327" t="s">
        <v>92</v>
      </c>
      <c r="D327" t="s">
        <v>50</v>
      </c>
      <c r="E327" t="s">
        <v>15</v>
      </c>
      <c r="F327" t="s">
        <v>57</v>
      </c>
      <c r="G327" t="s">
        <v>17</v>
      </c>
      <c r="H327" s="1">
        <v>45978</v>
      </c>
      <c r="I327" t="s">
        <v>701</v>
      </c>
      <c r="J327" t="s">
        <v>959</v>
      </c>
      <c r="K327">
        <v>5</v>
      </c>
      <c r="L327">
        <v>1</v>
      </c>
      <c r="M327">
        <v>1</v>
      </c>
      <c r="N327">
        <v>0</v>
      </c>
      <c r="O327">
        <v>1</v>
      </c>
      <c r="P327">
        <v>0</v>
      </c>
      <c r="Q327">
        <v>1</v>
      </c>
    </row>
    <row r="328" spans="1:19" hidden="1" x14ac:dyDescent="0.2">
      <c r="A328">
        <v>272</v>
      </c>
      <c r="B328" t="s">
        <v>125</v>
      </c>
      <c r="C328" t="s">
        <v>92</v>
      </c>
      <c r="D328" t="s">
        <v>50</v>
      </c>
      <c r="E328" t="s">
        <v>15</v>
      </c>
      <c r="F328" t="s">
        <v>74</v>
      </c>
      <c r="G328" t="s">
        <v>17</v>
      </c>
      <c r="H328" s="1">
        <v>45978</v>
      </c>
      <c r="I328" t="s">
        <v>701</v>
      </c>
      <c r="J328" t="s">
        <v>960</v>
      </c>
      <c r="K328">
        <v>5</v>
      </c>
      <c r="L328">
        <v>1</v>
      </c>
      <c r="M328">
        <v>1</v>
      </c>
      <c r="N328">
        <v>0</v>
      </c>
      <c r="O328">
        <v>1</v>
      </c>
      <c r="P328">
        <v>0</v>
      </c>
      <c r="Q328">
        <v>1</v>
      </c>
    </row>
    <row r="329" spans="1:19" hidden="1" x14ac:dyDescent="0.2">
      <c r="A329">
        <v>276</v>
      </c>
      <c r="B329" t="s">
        <v>125</v>
      </c>
      <c r="C329" t="s">
        <v>92</v>
      </c>
      <c r="D329" t="s">
        <v>50</v>
      </c>
      <c r="E329" t="s">
        <v>15</v>
      </c>
      <c r="F329" t="s">
        <v>505</v>
      </c>
      <c r="G329" t="s">
        <v>17</v>
      </c>
      <c r="H329" s="1">
        <v>45979</v>
      </c>
      <c r="I329" t="s">
        <v>701</v>
      </c>
      <c r="J329" t="s">
        <v>822</v>
      </c>
      <c r="K329">
        <v>5</v>
      </c>
      <c r="L329">
        <v>1</v>
      </c>
      <c r="M329">
        <v>1</v>
      </c>
      <c r="N329">
        <v>0</v>
      </c>
      <c r="O329">
        <v>1</v>
      </c>
      <c r="P329">
        <v>0</v>
      </c>
      <c r="Q329">
        <v>1</v>
      </c>
    </row>
    <row r="330" spans="1:19" hidden="1" x14ac:dyDescent="0.2">
      <c r="A330">
        <v>276</v>
      </c>
      <c r="B330" t="s">
        <v>125</v>
      </c>
      <c r="C330" t="s">
        <v>92</v>
      </c>
      <c r="D330" t="s">
        <v>50</v>
      </c>
      <c r="E330" t="s">
        <v>15</v>
      </c>
      <c r="F330" t="s">
        <v>165</v>
      </c>
      <c r="G330" t="s">
        <v>17</v>
      </c>
      <c r="H330" s="1">
        <v>45979</v>
      </c>
      <c r="I330" t="s">
        <v>701</v>
      </c>
      <c r="J330" t="s">
        <v>823</v>
      </c>
      <c r="K330">
        <v>5</v>
      </c>
      <c r="L330">
        <v>1</v>
      </c>
      <c r="M330">
        <v>1</v>
      </c>
      <c r="N330">
        <v>0</v>
      </c>
      <c r="O330">
        <v>1</v>
      </c>
      <c r="P330">
        <v>0</v>
      </c>
      <c r="Q330">
        <v>1</v>
      </c>
    </row>
    <row r="331" spans="1:19" hidden="1" x14ac:dyDescent="0.2">
      <c r="A331">
        <v>276</v>
      </c>
      <c r="B331" t="s">
        <v>125</v>
      </c>
      <c r="C331" t="s">
        <v>92</v>
      </c>
      <c r="D331" t="s">
        <v>50</v>
      </c>
      <c r="E331" t="s">
        <v>15</v>
      </c>
      <c r="F331" t="s">
        <v>165</v>
      </c>
      <c r="G331" t="s">
        <v>17</v>
      </c>
      <c r="H331" s="1">
        <v>45979</v>
      </c>
      <c r="I331" t="s">
        <v>701</v>
      </c>
      <c r="J331" t="s">
        <v>824</v>
      </c>
      <c r="K331">
        <v>5</v>
      </c>
      <c r="L331">
        <v>1</v>
      </c>
      <c r="M331">
        <v>1</v>
      </c>
      <c r="N331">
        <v>0</v>
      </c>
      <c r="O331">
        <v>1</v>
      </c>
      <c r="P331">
        <v>0</v>
      </c>
      <c r="Q331">
        <v>1</v>
      </c>
    </row>
    <row r="332" spans="1:19" hidden="1" x14ac:dyDescent="0.2">
      <c r="A332">
        <v>274</v>
      </c>
      <c r="B332" t="s">
        <v>43</v>
      </c>
      <c r="C332" t="s">
        <v>92</v>
      </c>
      <c r="D332" t="s">
        <v>839</v>
      </c>
      <c r="E332" t="s">
        <v>1269</v>
      </c>
      <c r="F332" t="s">
        <v>1270</v>
      </c>
      <c r="G332" t="s">
        <v>47</v>
      </c>
      <c r="H332" s="1">
        <v>45979</v>
      </c>
      <c r="I332" t="s">
        <v>48</v>
      </c>
      <c r="J332" t="s">
        <v>1271</v>
      </c>
      <c r="K332">
        <v>5</v>
      </c>
      <c r="L332">
        <v>0</v>
      </c>
      <c r="M332">
        <v>0</v>
      </c>
      <c r="N332">
        <v>0</v>
      </c>
      <c r="O332">
        <v>1</v>
      </c>
      <c r="P332">
        <v>0</v>
      </c>
      <c r="Q332">
        <v>1</v>
      </c>
    </row>
    <row r="333" spans="1:19" hidden="1" x14ac:dyDescent="0.2">
      <c r="A333">
        <v>280</v>
      </c>
      <c r="B333" t="s">
        <v>43</v>
      </c>
      <c r="C333" t="s">
        <v>1272</v>
      </c>
      <c r="D333" t="s">
        <v>839</v>
      </c>
      <c r="E333" t="s">
        <v>62</v>
      </c>
      <c r="F333" t="s">
        <v>840</v>
      </c>
      <c r="G333" t="s">
        <v>220</v>
      </c>
      <c r="H333" s="1">
        <v>45980</v>
      </c>
      <c r="I333" t="s">
        <v>149</v>
      </c>
      <c r="J333" t="s">
        <v>841</v>
      </c>
      <c r="K333">
        <v>5</v>
      </c>
      <c r="L333">
        <v>0</v>
      </c>
      <c r="M333">
        <v>0</v>
      </c>
      <c r="N333">
        <v>0</v>
      </c>
      <c r="O333">
        <v>1</v>
      </c>
      <c r="P333">
        <v>0</v>
      </c>
      <c r="Q333">
        <v>1</v>
      </c>
      <c r="R333" t="s">
        <v>222</v>
      </c>
      <c r="S333" t="s">
        <v>252</v>
      </c>
    </row>
    <row r="334" spans="1:19" hidden="1" x14ac:dyDescent="0.2">
      <c r="A334">
        <v>280</v>
      </c>
      <c r="B334" t="s">
        <v>43</v>
      </c>
      <c r="C334" t="s">
        <v>1272</v>
      </c>
      <c r="D334" t="s">
        <v>839</v>
      </c>
      <c r="E334" t="s">
        <v>62</v>
      </c>
      <c r="F334" t="s">
        <v>816</v>
      </c>
      <c r="G334" t="s">
        <v>220</v>
      </c>
      <c r="H334" s="1">
        <v>45980</v>
      </c>
      <c r="I334" t="s">
        <v>149</v>
      </c>
      <c r="J334" t="s">
        <v>844</v>
      </c>
      <c r="K334">
        <v>5</v>
      </c>
      <c r="L334">
        <v>0</v>
      </c>
      <c r="M334">
        <v>0</v>
      </c>
      <c r="N334">
        <v>0</v>
      </c>
      <c r="O334">
        <v>1</v>
      </c>
      <c r="P334">
        <v>0</v>
      </c>
      <c r="Q334">
        <v>1</v>
      </c>
      <c r="R334" t="s">
        <v>222</v>
      </c>
      <c r="S334" t="s">
        <v>252</v>
      </c>
    </row>
    <row r="335" spans="1:19" hidden="1" x14ac:dyDescent="0.2">
      <c r="A335">
        <v>280</v>
      </c>
      <c r="B335" t="s">
        <v>43</v>
      </c>
      <c r="C335" t="s">
        <v>1272</v>
      </c>
      <c r="D335" t="s">
        <v>839</v>
      </c>
      <c r="E335" t="s">
        <v>62</v>
      </c>
      <c r="F335" t="s">
        <v>847</v>
      </c>
      <c r="G335" t="s">
        <v>220</v>
      </c>
      <c r="H335" s="1">
        <v>45980</v>
      </c>
      <c r="I335" t="s">
        <v>149</v>
      </c>
      <c r="J335" t="s">
        <v>848</v>
      </c>
      <c r="K335">
        <v>5</v>
      </c>
      <c r="L335">
        <v>0</v>
      </c>
      <c r="M335">
        <v>0</v>
      </c>
      <c r="N335">
        <v>0</v>
      </c>
      <c r="O335">
        <v>1</v>
      </c>
      <c r="P335">
        <v>0</v>
      </c>
      <c r="Q335">
        <v>1</v>
      </c>
      <c r="R335" t="s">
        <v>222</v>
      </c>
      <c r="S335" t="s">
        <v>252</v>
      </c>
    </row>
    <row r="336" spans="1:19" hidden="1" x14ac:dyDescent="0.2">
      <c r="A336">
        <v>278</v>
      </c>
      <c r="B336" t="s">
        <v>13</v>
      </c>
      <c r="C336" t="s">
        <v>1273</v>
      </c>
      <c r="D336" t="s">
        <v>834</v>
      </c>
      <c r="E336" t="s">
        <v>192</v>
      </c>
      <c r="F336" t="s">
        <v>835</v>
      </c>
      <c r="G336" t="s">
        <v>17</v>
      </c>
      <c r="H336" s="1">
        <v>45980</v>
      </c>
      <c r="I336" t="s">
        <v>127</v>
      </c>
      <c r="J336" t="s">
        <v>836</v>
      </c>
      <c r="K336">
        <v>5</v>
      </c>
      <c r="L336">
        <v>1</v>
      </c>
      <c r="M336">
        <v>1</v>
      </c>
      <c r="N336">
        <v>0</v>
      </c>
      <c r="O336">
        <v>1</v>
      </c>
      <c r="P336">
        <v>0</v>
      </c>
      <c r="Q336">
        <v>1</v>
      </c>
    </row>
    <row r="337" spans="1:19" hidden="1" x14ac:dyDescent="0.2">
      <c r="A337">
        <v>278</v>
      </c>
      <c r="B337" t="s">
        <v>13</v>
      </c>
      <c r="C337" t="s">
        <v>1273</v>
      </c>
      <c r="D337" t="s">
        <v>834</v>
      </c>
      <c r="E337" t="s">
        <v>15</v>
      </c>
      <c r="F337" t="s">
        <v>704</v>
      </c>
      <c r="G337" t="s">
        <v>17</v>
      </c>
      <c r="H337" s="1">
        <v>45980</v>
      </c>
      <c r="I337" t="s">
        <v>127</v>
      </c>
      <c r="J337" t="s">
        <v>837</v>
      </c>
      <c r="K337">
        <v>5</v>
      </c>
      <c r="L337">
        <v>1</v>
      </c>
      <c r="M337">
        <v>1</v>
      </c>
      <c r="N337">
        <v>0</v>
      </c>
      <c r="O337">
        <v>1</v>
      </c>
      <c r="P337">
        <v>0</v>
      </c>
      <c r="Q337">
        <v>1</v>
      </c>
    </row>
    <row r="338" spans="1:19" hidden="1" x14ac:dyDescent="0.2">
      <c r="A338">
        <v>278</v>
      </c>
      <c r="B338" t="s">
        <v>13</v>
      </c>
      <c r="C338" t="s">
        <v>1273</v>
      </c>
      <c r="D338" t="s">
        <v>834</v>
      </c>
      <c r="E338" t="s">
        <v>15</v>
      </c>
      <c r="F338" t="s">
        <v>505</v>
      </c>
      <c r="G338" t="s">
        <v>17</v>
      </c>
      <c r="H338" s="1">
        <v>45980</v>
      </c>
      <c r="I338" t="s">
        <v>127</v>
      </c>
      <c r="J338" t="s">
        <v>838</v>
      </c>
      <c r="K338">
        <v>5</v>
      </c>
      <c r="L338">
        <v>1</v>
      </c>
      <c r="M338">
        <v>1</v>
      </c>
      <c r="N338">
        <v>0</v>
      </c>
      <c r="O338">
        <v>1</v>
      </c>
      <c r="P338">
        <v>0</v>
      </c>
      <c r="Q338">
        <v>1</v>
      </c>
    </row>
    <row r="339" spans="1:19" hidden="1" x14ac:dyDescent="0.2">
      <c r="A339">
        <v>277</v>
      </c>
      <c r="B339" t="s">
        <v>825</v>
      </c>
      <c r="C339" t="s">
        <v>202</v>
      </c>
      <c r="D339" t="s">
        <v>826</v>
      </c>
      <c r="E339" t="s">
        <v>827</v>
      </c>
      <c r="F339" t="s">
        <v>828</v>
      </c>
      <c r="G339" t="s">
        <v>220</v>
      </c>
      <c r="H339" s="1">
        <v>45980</v>
      </c>
      <c r="I339" t="s">
        <v>829</v>
      </c>
      <c r="J339" t="s">
        <v>830</v>
      </c>
      <c r="K339">
        <v>5</v>
      </c>
      <c r="L339">
        <v>1</v>
      </c>
      <c r="M339">
        <v>1</v>
      </c>
      <c r="N339">
        <v>1</v>
      </c>
      <c r="O339">
        <v>1</v>
      </c>
      <c r="P339">
        <v>1</v>
      </c>
      <c r="Q339">
        <v>1</v>
      </c>
      <c r="R339" t="s">
        <v>202</v>
      </c>
      <c r="S339" t="s">
        <v>831</v>
      </c>
    </row>
    <row r="340" spans="1:19" ht="409.6" hidden="1" x14ac:dyDescent="0.2">
      <c r="A340">
        <v>283</v>
      </c>
      <c r="B340" t="s">
        <v>28</v>
      </c>
      <c r="C340" t="s">
        <v>1273</v>
      </c>
      <c r="D340" t="s">
        <v>865</v>
      </c>
      <c r="E340" t="s">
        <v>15</v>
      </c>
      <c r="F340" t="s">
        <v>866</v>
      </c>
      <c r="G340" t="s">
        <v>17</v>
      </c>
      <c r="H340" s="1">
        <v>45981</v>
      </c>
      <c r="I340" t="s">
        <v>15</v>
      </c>
      <c r="J340" s="3" t="s">
        <v>1274</v>
      </c>
      <c r="K340">
        <v>5</v>
      </c>
      <c r="L340">
        <v>1</v>
      </c>
      <c r="M340">
        <v>1</v>
      </c>
      <c r="N340">
        <v>0</v>
      </c>
      <c r="O340">
        <v>1</v>
      </c>
      <c r="P340">
        <v>1</v>
      </c>
      <c r="Q340">
        <v>1</v>
      </c>
    </row>
    <row r="341" spans="1:19" hidden="1" x14ac:dyDescent="0.2">
      <c r="A341">
        <v>283</v>
      </c>
      <c r="B341" t="s">
        <v>28</v>
      </c>
      <c r="C341" t="s">
        <v>1273</v>
      </c>
      <c r="D341" t="s">
        <v>865</v>
      </c>
      <c r="E341" t="s">
        <v>15</v>
      </c>
      <c r="F341" t="s">
        <v>316</v>
      </c>
      <c r="G341" t="s">
        <v>17</v>
      </c>
      <c r="H341" s="1">
        <v>45981</v>
      </c>
      <c r="I341" t="s">
        <v>15</v>
      </c>
      <c r="J341" t="s">
        <v>867</v>
      </c>
      <c r="K341">
        <v>5</v>
      </c>
      <c r="L341">
        <v>1</v>
      </c>
      <c r="M341">
        <v>1</v>
      </c>
      <c r="N341">
        <v>0</v>
      </c>
      <c r="O341">
        <v>1</v>
      </c>
      <c r="P341">
        <v>1</v>
      </c>
      <c r="Q341">
        <v>1</v>
      </c>
    </row>
    <row r="342" spans="1:19" hidden="1" x14ac:dyDescent="0.2">
      <c r="A342">
        <v>283</v>
      </c>
      <c r="B342" t="s">
        <v>28</v>
      </c>
      <c r="C342" t="s">
        <v>1273</v>
      </c>
      <c r="D342" t="s">
        <v>865</v>
      </c>
      <c r="E342" t="s">
        <v>15</v>
      </c>
      <c r="F342" t="s">
        <v>104</v>
      </c>
      <c r="G342" t="s">
        <v>17</v>
      </c>
      <c r="H342" s="1">
        <v>45981</v>
      </c>
      <c r="I342" t="s">
        <v>15</v>
      </c>
      <c r="J342" t="s">
        <v>867</v>
      </c>
      <c r="K342">
        <v>5</v>
      </c>
      <c r="L342">
        <v>1</v>
      </c>
      <c r="M342">
        <v>1</v>
      </c>
      <c r="N342">
        <v>0</v>
      </c>
      <c r="O342">
        <v>1</v>
      </c>
      <c r="P342">
        <v>1</v>
      </c>
      <c r="Q342">
        <v>1</v>
      </c>
    </row>
    <row r="343" spans="1:19" hidden="1" x14ac:dyDescent="0.2">
      <c r="A343">
        <v>282</v>
      </c>
      <c r="B343" t="s">
        <v>106</v>
      </c>
      <c r="C343" t="s">
        <v>202</v>
      </c>
      <c r="D343" t="s">
        <v>862</v>
      </c>
      <c r="E343" t="s">
        <v>546</v>
      </c>
      <c r="F343" t="s">
        <v>547</v>
      </c>
      <c r="G343" t="s">
        <v>220</v>
      </c>
      <c r="H343" s="1">
        <v>45981</v>
      </c>
      <c r="I343" t="s">
        <v>548</v>
      </c>
      <c r="J343" t="s">
        <v>863</v>
      </c>
      <c r="K343">
        <v>5</v>
      </c>
      <c r="L343">
        <v>1</v>
      </c>
      <c r="M343">
        <v>1</v>
      </c>
      <c r="N343">
        <v>1</v>
      </c>
      <c r="O343">
        <v>1</v>
      </c>
      <c r="P343">
        <v>1</v>
      </c>
      <c r="Q343">
        <v>1</v>
      </c>
      <c r="R343" t="s">
        <v>606</v>
      </c>
      <c r="S343" t="s">
        <v>1262</v>
      </c>
    </row>
    <row r="344" spans="1:19" ht="304" hidden="1" x14ac:dyDescent="0.2">
      <c r="A344">
        <v>281</v>
      </c>
      <c r="B344" t="s">
        <v>43</v>
      </c>
      <c r="C344" t="s">
        <v>1272</v>
      </c>
      <c r="D344" t="s">
        <v>851</v>
      </c>
      <c r="E344" t="s">
        <v>62</v>
      </c>
      <c r="F344" t="s">
        <v>852</v>
      </c>
      <c r="G344" t="s">
        <v>47</v>
      </c>
      <c r="H344" s="1">
        <v>45981</v>
      </c>
      <c r="I344" t="s">
        <v>149</v>
      </c>
      <c r="J344" s="3" t="s">
        <v>1275</v>
      </c>
      <c r="K344">
        <v>5</v>
      </c>
      <c r="L344">
        <v>0</v>
      </c>
      <c r="M344">
        <v>0</v>
      </c>
      <c r="N344">
        <v>0</v>
      </c>
      <c r="O344">
        <v>1</v>
      </c>
      <c r="P344">
        <v>0</v>
      </c>
      <c r="Q344">
        <v>1</v>
      </c>
    </row>
    <row r="345" spans="1:19" hidden="1" x14ac:dyDescent="0.2">
      <c r="A345">
        <v>281</v>
      </c>
      <c r="B345" t="s">
        <v>43</v>
      </c>
      <c r="C345" t="s">
        <v>1272</v>
      </c>
      <c r="D345" t="s">
        <v>851</v>
      </c>
      <c r="E345" t="s">
        <v>62</v>
      </c>
      <c r="F345" t="s">
        <v>219</v>
      </c>
      <c r="G345" t="s">
        <v>220</v>
      </c>
      <c r="H345" s="1">
        <v>45981</v>
      </c>
      <c r="I345" t="s">
        <v>149</v>
      </c>
      <c r="J345" t="s">
        <v>853</v>
      </c>
      <c r="K345">
        <v>5</v>
      </c>
      <c r="L345">
        <v>0</v>
      </c>
      <c r="M345">
        <v>0</v>
      </c>
      <c r="N345">
        <v>0</v>
      </c>
      <c r="O345">
        <v>1</v>
      </c>
      <c r="P345">
        <v>0</v>
      </c>
      <c r="Q345">
        <v>1</v>
      </c>
      <c r="R345" t="s">
        <v>222</v>
      </c>
      <c r="S345" t="s">
        <v>325</v>
      </c>
    </row>
    <row r="346" spans="1:19" hidden="1" x14ac:dyDescent="0.2">
      <c r="A346">
        <v>281</v>
      </c>
      <c r="B346" t="s">
        <v>43</v>
      </c>
      <c r="C346" t="s">
        <v>1272</v>
      </c>
      <c r="D346" t="s">
        <v>851</v>
      </c>
      <c r="E346" t="s">
        <v>62</v>
      </c>
      <c r="F346" t="s">
        <v>847</v>
      </c>
      <c r="G346" t="s">
        <v>220</v>
      </c>
      <c r="H346" s="1">
        <v>45981</v>
      </c>
      <c r="I346" t="s">
        <v>149</v>
      </c>
      <c r="J346" t="s">
        <v>856</v>
      </c>
      <c r="K346">
        <v>5</v>
      </c>
      <c r="L346">
        <v>0</v>
      </c>
      <c r="M346">
        <v>0</v>
      </c>
      <c r="N346">
        <v>0</v>
      </c>
      <c r="O346">
        <v>1</v>
      </c>
      <c r="P346">
        <v>0</v>
      </c>
      <c r="Q346">
        <v>1</v>
      </c>
      <c r="R346" t="s">
        <v>222</v>
      </c>
      <c r="S346" t="s">
        <v>252</v>
      </c>
    </row>
    <row r="347" spans="1:19" hidden="1" x14ac:dyDescent="0.2">
      <c r="A347">
        <v>281</v>
      </c>
      <c r="B347" t="s">
        <v>43</v>
      </c>
      <c r="C347" t="s">
        <v>1272</v>
      </c>
      <c r="D347" t="s">
        <v>851</v>
      </c>
      <c r="E347" t="s">
        <v>62</v>
      </c>
      <c r="F347" t="s">
        <v>390</v>
      </c>
      <c r="G347" t="s">
        <v>220</v>
      </c>
      <c r="H347" s="1">
        <v>45981</v>
      </c>
      <c r="I347" t="s">
        <v>149</v>
      </c>
      <c r="J347" t="s">
        <v>853</v>
      </c>
      <c r="K347">
        <v>5</v>
      </c>
      <c r="L347">
        <v>0</v>
      </c>
      <c r="M347">
        <v>0</v>
      </c>
      <c r="N347">
        <v>0</v>
      </c>
      <c r="O347">
        <v>1</v>
      </c>
      <c r="P347">
        <v>0</v>
      </c>
      <c r="Q347">
        <v>1</v>
      </c>
      <c r="R347" t="s">
        <v>202</v>
      </c>
      <c r="S347" t="s">
        <v>858</v>
      </c>
    </row>
    <row r="348" spans="1:19" hidden="1" x14ac:dyDescent="0.2">
      <c r="A348">
        <v>281</v>
      </c>
      <c r="B348" t="s">
        <v>43</v>
      </c>
      <c r="C348" t="s">
        <v>1272</v>
      </c>
      <c r="D348" t="s">
        <v>851</v>
      </c>
      <c r="E348" t="s">
        <v>62</v>
      </c>
      <c r="F348" t="s">
        <v>811</v>
      </c>
      <c r="G348" t="s">
        <v>220</v>
      </c>
      <c r="H348" s="1">
        <v>45981</v>
      </c>
      <c r="I348" t="s">
        <v>149</v>
      </c>
      <c r="J348" t="s">
        <v>856</v>
      </c>
      <c r="K348">
        <v>5</v>
      </c>
      <c r="L348">
        <v>0</v>
      </c>
      <c r="M348">
        <v>0</v>
      </c>
      <c r="N348">
        <v>0</v>
      </c>
      <c r="O348">
        <v>1</v>
      </c>
      <c r="P348">
        <v>0</v>
      </c>
      <c r="Q348">
        <v>1</v>
      </c>
      <c r="R348" t="s">
        <v>222</v>
      </c>
      <c r="S348" t="s">
        <v>252</v>
      </c>
    </row>
    <row r="349" spans="1:19" hidden="1" x14ac:dyDescent="0.2">
      <c r="A349">
        <v>291</v>
      </c>
      <c r="B349" t="s">
        <v>43</v>
      </c>
      <c r="C349" t="s">
        <v>1272</v>
      </c>
      <c r="D349" t="s">
        <v>839</v>
      </c>
      <c r="E349" t="s">
        <v>62</v>
      </c>
      <c r="F349" t="s">
        <v>533</v>
      </c>
      <c r="G349" t="s">
        <v>47</v>
      </c>
      <c r="H349" s="1">
        <v>45982</v>
      </c>
      <c r="I349" t="s">
        <v>898</v>
      </c>
      <c r="J349" t="s">
        <v>899</v>
      </c>
      <c r="K349">
        <v>5</v>
      </c>
      <c r="L349">
        <v>0</v>
      </c>
      <c r="M349">
        <v>0</v>
      </c>
      <c r="N349">
        <v>0</v>
      </c>
      <c r="O349">
        <v>1</v>
      </c>
      <c r="P349">
        <v>0</v>
      </c>
      <c r="Q349">
        <v>1</v>
      </c>
    </row>
    <row r="350" spans="1:19" hidden="1" x14ac:dyDescent="0.2">
      <c r="A350">
        <v>291</v>
      </c>
      <c r="B350" t="s">
        <v>43</v>
      </c>
      <c r="C350" t="s">
        <v>1272</v>
      </c>
      <c r="D350" t="s">
        <v>839</v>
      </c>
      <c r="E350" t="s">
        <v>62</v>
      </c>
      <c r="F350" t="s">
        <v>847</v>
      </c>
      <c r="G350" t="s">
        <v>220</v>
      </c>
      <c r="H350" s="1">
        <v>45982</v>
      </c>
      <c r="I350" t="s">
        <v>898</v>
      </c>
      <c r="J350" t="s">
        <v>900</v>
      </c>
      <c r="K350">
        <v>5</v>
      </c>
      <c r="L350">
        <v>0</v>
      </c>
      <c r="M350">
        <v>0</v>
      </c>
      <c r="N350">
        <v>0</v>
      </c>
      <c r="O350">
        <v>1</v>
      </c>
      <c r="P350">
        <v>0</v>
      </c>
      <c r="Q350">
        <v>1</v>
      </c>
      <c r="R350" t="s">
        <v>222</v>
      </c>
      <c r="S350" t="s">
        <v>252</v>
      </c>
    </row>
    <row r="351" spans="1:19" hidden="1" x14ac:dyDescent="0.2">
      <c r="A351">
        <v>291</v>
      </c>
      <c r="B351" t="s">
        <v>43</v>
      </c>
      <c r="C351" t="s">
        <v>1272</v>
      </c>
      <c r="D351" t="s">
        <v>839</v>
      </c>
      <c r="E351" t="s">
        <v>62</v>
      </c>
      <c r="F351" t="s">
        <v>852</v>
      </c>
      <c r="G351" t="s">
        <v>220</v>
      </c>
      <c r="H351" s="1">
        <v>45982</v>
      </c>
      <c r="I351" t="s">
        <v>898</v>
      </c>
      <c r="J351" t="s">
        <v>902</v>
      </c>
      <c r="K351">
        <v>5</v>
      </c>
      <c r="L351">
        <v>0</v>
      </c>
      <c r="M351">
        <v>0</v>
      </c>
      <c r="N351">
        <v>0</v>
      </c>
      <c r="O351">
        <v>1</v>
      </c>
      <c r="P351">
        <v>0</v>
      </c>
      <c r="Q351">
        <v>1</v>
      </c>
      <c r="R351" t="s">
        <v>222</v>
      </c>
      <c r="S351" t="s">
        <v>252</v>
      </c>
    </row>
    <row r="352" spans="1:19" hidden="1" x14ac:dyDescent="0.2">
      <c r="A352">
        <v>286</v>
      </c>
      <c r="B352" t="s">
        <v>106</v>
      </c>
      <c r="C352" t="s">
        <v>202</v>
      </c>
      <c r="D352" t="s">
        <v>873</v>
      </c>
      <c r="E352" t="s">
        <v>546</v>
      </c>
      <c r="F352" t="s">
        <v>547</v>
      </c>
      <c r="G352" t="s">
        <v>220</v>
      </c>
      <c r="H352" s="1">
        <v>45982</v>
      </c>
      <c r="I352" t="s">
        <v>548</v>
      </c>
      <c r="J352" t="s">
        <v>874</v>
      </c>
      <c r="K352">
        <v>5</v>
      </c>
      <c r="L352">
        <v>1</v>
      </c>
      <c r="M352">
        <v>1</v>
      </c>
      <c r="N352">
        <v>1</v>
      </c>
      <c r="O352">
        <v>1</v>
      </c>
      <c r="P352">
        <v>1</v>
      </c>
      <c r="Q352">
        <v>1</v>
      </c>
      <c r="R352" t="s">
        <v>606</v>
      </c>
      <c r="S352" t="s">
        <v>1262</v>
      </c>
    </row>
    <row r="353" spans="1:19" hidden="1" x14ac:dyDescent="0.2">
      <c r="A353">
        <v>284</v>
      </c>
      <c r="B353" t="s">
        <v>825</v>
      </c>
      <c r="C353" t="s">
        <v>202</v>
      </c>
      <c r="D353" t="s">
        <v>868</v>
      </c>
      <c r="E353" t="s">
        <v>869</v>
      </c>
      <c r="F353" t="s">
        <v>870</v>
      </c>
      <c r="G353" t="s">
        <v>55</v>
      </c>
      <c r="H353" s="1">
        <v>45982</v>
      </c>
      <c r="I353" t="s">
        <v>871</v>
      </c>
      <c r="J353" t="s">
        <v>872</v>
      </c>
      <c r="K353">
        <v>5</v>
      </c>
      <c r="L353">
        <v>1</v>
      </c>
      <c r="M353">
        <v>1</v>
      </c>
      <c r="N353">
        <v>1</v>
      </c>
      <c r="O353">
        <v>1</v>
      </c>
      <c r="P353">
        <v>1</v>
      </c>
      <c r="Q353">
        <v>1</v>
      </c>
    </row>
    <row r="354" spans="1:19" x14ac:dyDescent="0.2">
      <c r="A354">
        <v>289</v>
      </c>
      <c r="B354" t="s">
        <v>61</v>
      </c>
      <c r="C354" t="s">
        <v>1272</v>
      </c>
      <c r="D354" t="s">
        <v>888</v>
      </c>
      <c r="E354" t="s">
        <v>62</v>
      </c>
      <c r="F354" t="s">
        <v>889</v>
      </c>
      <c r="G354" t="s">
        <v>17</v>
      </c>
      <c r="H354" s="1">
        <v>45985</v>
      </c>
      <c r="I354" t="s">
        <v>890</v>
      </c>
      <c r="J354" t="s">
        <v>891</v>
      </c>
      <c r="K354">
        <v>5</v>
      </c>
      <c r="L354">
        <v>1</v>
      </c>
      <c r="M354">
        <v>1</v>
      </c>
      <c r="N354">
        <v>0</v>
      </c>
      <c r="O354">
        <v>0</v>
      </c>
      <c r="P354">
        <v>0</v>
      </c>
      <c r="Q354">
        <v>1</v>
      </c>
    </row>
    <row r="355" spans="1:19" hidden="1" x14ac:dyDescent="0.2">
      <c r="A355">
        <v>289</v>
      </c>
      <c r="B355" t="s">
        <v>61</v>
      </c>
      <c r="C355" t="s">
        <v>1272</v>
      </c>
      <c r="D355" t="s">
        <v>888</v>
      </c>
      <c r="E355" t="s">
        <v>62</v>
      </c>
      <c r="F355" t="s">
        <v>417</v>
      </c>
      <c r="G355" t="s">
        <v>220</v>
      </c>
      <c r="H355" s="1">
        <v>45985</v>
      </c>
      <c r="I355" t="s">
        <v>890</v>
      </c>
      <c r="J355" t="s">
        <v>892</v>
      </c>
      <c r="K355">
        <v>5</v>
      </c>
      <c r="L355">
        <v>1</v>
      </c>
      <c r="M355">
        <v>1</v>
      </c>
      <c r="N355">
        <v>0</v>
      </c>
      <c r="O355">
        <v>0</v>
      </c>
      <c r="P355">
        <v>0</v>
      </c>
      <c r="Q355">
        <v>1</v>
      </c>
      <c r="R355" t="s">
        <v>222</v>
      </c>
      <c r="S355" t="s">
        <v>252</v>
      </c>
    </row>
    <row r="356" spans="1:19" hidden="1" x14ac:dyDescent="0.2">
      <c r="A356">
        <v>288</v>
      </c>
      <c r="B356" t="s">
        <v>125</v>
      </c>
      <c r="C356" t="s">
        <v>202</v>
      </c>
      <c r="D356" t="s">
        <v>878</v>
      </c>
      <c r="E356" t="s">
        <v>15</v>
      </c>
      <c r="F356" t="s">
        <v>57</v>
      </c>
      <c r="G356" t="s">
        <v>17</v>
      </c>
      <c r="H356" s="1">
        <v>45985</v>
      </c>
      <c r="I356" t="s">
        <v>701</v>
      </c>
      <c r="J356" t="s">
        <v>879</v>
      </c>
      <c r="K356">
        <v>5</v>
      </c>
      <c r="L356">
        <v>1</v>
      </c>
      <c r="M356">
        <v>1</v>
      </c>
      <c r="N356">
        <v>0</v>
      </c>
      <c r="O356">
        <v>1</v>
      </c>
      <c r="P356">
        <v>0</v>
      </c>
      <c r="Q356">
        <v>1</v>
      </c>
    </row>
    <row r="357" spans="1:19" hidden="1" x14ac:dyDescent="0.2">
      <c r="A357">
        <v>288</v>
      </c>
      <c r="B357" t="s">
        <v>125</v>
      </c>
      <c r="C357" t="s">
        <v>202</v>
      </c>
      <c r="D357" t="s">
        <v>878</v>
      </c>
      <c r="E357" t="s">
        <v>15</v>
      </c>
      <c r="F357" t="s">
        <v>59</v>
      </c>
      <c r="G357" t="s">
        <v>17</v>
      </c>
      <c r="H357" s="1">
        <v>45985</v>
      </c>
      <c r="I357" t="s">
        <v>701</v>
      </c>
      <c r="J357" t="s">
        <v>880</v>
      </c>
      <c r="K357">
        <v>5</v>
      </c>
      <c r="L357">
        <v>1</v>
      </c>
      <c r="M357">
        <v>1</v>
      </c>
      <c r="N357">
        <v>0</v>
      </c>
      <c r="O357">
        <v>1</v>
      </c>
      <c r="P357">
        <v>0</v>
      </c>
      <c r="Q357">
        <v>1</v>
      </c>
    </row>
    <row r="358" spans="1:19" hidden="1" x14ac:dyDescent="0.2">
      <c r="A358">
        <v>288</v>
      </c>
      <c r="B358" t="s">
        <v>125</v>
      </c>
      <c r="C358" t="s">
        <v>202</v>
      </c>
      <c r="D358" t="s">
        <v>878</v>
      </c>
      <c r="E358" t="s">
        <v>15</v>
      </c>
      <c r="F358" t="s">
        <v>881</v>
      </c>
      <c r="G358" t="s">
        <v>17</v>
      </c>
      <c r="H358" s="1">
        <v>45985</v>
      </c>
      <c r="I358" t="s">
        <v>701</v>
      </c>
      <c r="J358" t="s">
        <v>882</v>
      </c>
      <c r="K358">
        <v>5</v>
      </c>
      <c r="L358">
        <v>1</v>
      </c>
      <c r="M358">
        <v>1</v>
      </c>
      <c r="N358">
        <v>0</v>
      </c>
      <c r="O358">
        <v>1</v>
      </c>
      <c r="P358">
        <v>0</v>
      </c>
      <c r="Q358">
        <v>1</v>
      </c>
    </row>
    <row r="359" spans="1:19" hidden="1" x14ac:dyDescent="0.2">
      <c r="A359">
        <v>288</v>
      </c>
      <c r="B359" t="s">
        <v>125</v>
      </c>
      <c r="C359" t="s">
        <v>202</v>
      </c>
      <c r="D359" t="s">
        <v>878</v>
      </c>
      <c r="E359" t="s">
        <v>15</v>
      </c>
      <c r="F359" t="s">
        <v>883</v>
      </c>
      <c r="G359" t="s">
        <v>17</v>
      </c>
      <c r="H359" s="1">
        <v>45985</v>
      </c>
      <c r="I359" t="s">
        <v>701</v>
      </c>
      <c r="J359" t="s">
        <v>884</v>
      </c>
      <c r="K359">
        <v>5</v>
      </c>
      <c r="L359">
        <v>1</v>
      </c>
      <c r="M359">
        <v>1</v>
      </c>
      <c r="N359">
        <v>0</v>
      </c>
      <c r="O359">
        <v>1</v>
      </c>
      <c r="P359">
        <v>0</v>
      </c>
      <c r="Q359">
        <v>1</v>
      </c>
    </row>
    <row r="360" spans="1:19" hidden="1" x14ac:dyDescent="0.2">
      <c r="A360">
        <v>288</v>
      </c>
      <c r="B360" t="s">
        <v>125</v>
      </c>
      <c r="C360" t="s">
        <v>202</v>
      </c>
      <c r="D360" t="s">
        <v>878</v>
      </c>
      <c r="E360" t="s">
        <v>15</v>
      </c>
      <c r="F360" t="s">
        <v>74</v>
      </c>
      <c r="G360" t="s">
        <v>17</v>
      </c>
      <c r="H360" s="1">
        <v>45985</v>
      </c>
      <c r="I360" t="s">
        <v>701</v>
      </c>
      <c r="J360" t="s">
        <v>885</v>
      </c>
      <c r="K360">
        <v>5</v>
      </c>
      <c r="L360">
        <v>1</v>
      </c>
      <c r="M360">
        <v>1</v>
      </c>
      <c r="N360">
        <v>0</v>
      </c>
      <c r="O360">
        <v>1</v>
      </c>
      <c r="P360">
        <v>0</v>
      </c>
      <c r="Q360">
        <v>1</v>
      </c>
    </row>
    <row r="361" spans="1:19" hidden="1" x14ac:dyDescent="0.2">
      <c r="A361">
        <v>288</v>
      </c>
      <c r="B361" t="s">
        <v>125</v>
      </c>
      <c r="C361" t="s">
        <v>202</v>
      </c>
      <c r="D361" t="s">
        <v>878</v>
      </c>
      <c r="E361" t="s">
        <v>15</v>
      </c>
      <c r="F361" t="s">
        <v>886</v>
      </c>
      <c r="G361" t="s">
        <v>17</v>
      </c>
      <c r="H361" s="1">
        <v>45985</v>
      </c>
      <c r="I361" t="s">
        <v>701</v>
      </c>
      <c r="J361" t="s">
        <v>887</v>
      </c>
      <c r="K361">
        <v>5</v>
      </c>
      <c r="L361">
        <v>1</v>
      </c>
      <c r="M361">
        <v>1</v>
      </c>
      <c r="N361">
        <v>0</v>
      </c>
      <c r="O361">
        <v>1</v>
      </c>
      <c r="P361">
        <v>0</v>
      </c>
      <c r="Q361">
        <v>1</v>
      </c>
    </row>
    <row r="362" spans="1:19" hidden="1" x14ac:dyDescent="0.2">
      <c r="A362">
        <v>287</v>
      </c>
      <c r="B362" t="s">
        <v>65</v>
      </c>
      <c r="C362" t="s">
        <v>1276</v>
      </c>
      <c r="D362" t="s">
        <v>876</v>
      </c>
      <c r="E362" t="s">
        <v>66</v>
      </c>
      <c r="F362" t="s">
        <v>140</v>
      </c>
      <c r="G362" t="s">
        <v>17</v>
      </c>
      <c r="H362" s="1">
        <v>45985</v>
      </c>
      <c r="I362" t="s">
        <v>68</v>
      </c>
      <c r="J362" t="s">
        <v>877</v>
      </c>
      <c r="K362">
        <v>5</v>
      </c>
      <c r="L362">
        <v>0</v>
      </c>
      <c r="M362">
        <v>0</v>
      </c>
      <c r="N362">
        <v>0</v>
      </c>
      <c r="O362">
        <v>0</v>
      </c>
      <c r="P362">
        <v>0</v>
      </c>
      <c r="Q362">
        <v>1</v>
      </c>
    </row>
    <row r="363" spans="1:19" hidden="1" x14ac:dyDescent="0.2">
      <c r="A363">
        <v>310</v>
      </c>
      <c r="B363" t="s">
        <v>78</v>
      </c>
      <c r="C363" t="s">
        <v>202</v>
      </c>
      <c r="D363" t="s">
        <v>983</v>
      </c>
      <c r="E363" t="s">
        <v>456</v>
      </c>
      <c r="F363" t="s">
        <v>457</v>
      </c>
      <c r="G363" t="s">
        <v>17</v>
      </c>
      <c r="H363" s="1">
        <v>45986</v>
      </c>
      <c r="I363" t="s">
        <v>517</v>
      </c>
      <c r="J363" t="s">
        <v>984</v>
      </c>
      <c r="K363">
        <v>5</v>
      </c>
      <c r="L363">
        <v>1</v>
      </c>
      <c r="M363">
        <v>1</v>
      </c>
      <c r="N363">
        <v>1</v>
      </c>
      <c r="O363">
        <v>1</v>
      </c>
      <c r="P363">
        <v>1</v>
      </c>
      <c r="Q363">
        <v>1</v>
      </c>
    </row>
    <row r="364" spans="1:19" hidden="1" x14ac:dyDescent="0.2">
      <c r="A364">
        <v>310</v>
      </c>
      <c r="B364" t="s">
        <v>78</v>
      </c>
      <c r="C364" t="s">
        <v>202</v>
      </c>
      <c r="D364" t="s">
        <v>983</v>
      </c>
      <c r="E364" t="s">
        <v>456</v>
      </c>
      <c r="F364" t="s">
        <v>516</v>
      </c>
      <c r="G364" t="s">
        <v>17</v>
      </c>
      <c r="H364" s="1">
        <v>45986</v>
      </c>
      <c r="I364" t="s">
        <v>517</v>
      </c>
      <c r="J364" t="s">
        <v>985</v>
      </c>
      <c r="K364">
        <v>5</v>
      </c>
      <c r="L364">
        <v>1</v>
      </c>
      <c r="M364">
        <v>1</v>
      </c>
      <c r="N364">
        <v>1</v>
      </c>
      <c r="O364">
        <v>1</v>
      </c>
      <c r="P364">
        <v>1</v>
      </c>
      <c r="Q364">
        <v>1</v>
      </c>
    </row>
    <row r="365" spans="1:19" hidden="1" x14ac:dyDescent="0.2">
      <c r="A365">
        <v>293</v>
      </c>
      <c r="B365" t="s">
        <v>43</v>
      </c>
      <c r="C365" t="s">
        <v>1272</v>
      </c>
      <c r="D365" t="s">
        <v>909</v>
      </c>
      <c r="E365" t="s">
        <v>62</v>
      </c>
      <c r="F365" t="s">
        <v>324</v>
      </c>
      <c r="G365" t="s">
        <v>220</v>
      </c>
      <c r="H365" s="1">
        <v>45986</v>
      </c>
      <c r="I365" t="s">
        <v>229</v>
      </c>
      <c r="J365" t="s">
        <v>910</v>
      </c>
      <c r="K365">
        <v>5</v>
      </c>
      <c r="L365">
        <v>0</v>
      </c>
      <c r="M365">
        <v>0</v>
      </c>
      <c r="N365">
        <v>0</v>
      </c>
      <c r="O365">
        <v>1</v>
      </c>
      <c r="P365">
        <v>0</v>
      </c>
      <c r="Q365">
        <v>1</v>
      </c>
      <c r="R365" t="s">
        <v>202</v>
      </c>
      <c r="S365" t="s">
        <v>911</v>
      </c>
    </row>
    <row r="366" spans="1:19" hidden="1" x14ac:dyDescent="0.2">
      <c r="A366">
        <v>293</v>
      </c>
      <c r="B366" t="s">
        <v>43</v>
      </c>
      <c r="C366" t="s">
        <v>1272</v>
      </c>
      <c r="D366" t="s">
        <v>909</v>
      </c>
      <c r="E366" t="s">
        <v>62</v>
      </c>
      <c r="F366" t="s">
        <v>913</v>
      </c>
      <c r="G366" t="s">
        <v>220</v>
      </c>
      <c r="H366" s="1">
        <v>45986</v>
      </c>
      <c r="I366" t="s">
        <v>229</v>
      </c>
      <c r="J366" t="s">
        <v>914</v>
      </c>
      <c r="K366">
        <v>5</v>
      </c>
      <c r="L366">
        <v>0</v>
      </c>
      <c r="M366">
        <v>0</v>
      </c>
      <c r="N366">
        <v>0</v>
      </c>
      <c r="O366">
        <v>1</v>
      </c>
      <c r="P366">
        <v>0</v>
      </c>
      <c r="Q366">
        <v>1</v>
      </c>
      <c r="R366" t="s">
        <v>222</v>
      </c>
      <c r="S366" t="s">
        <v>325</v>
      </c>
    </row>
    <row r="367" spans="1:19" hidden="1" x14ac:dyDescent="0.2">
      <c r="A367">
        <v>293</v>
      </c>
      <c r="B367" t="s">
        <v>43</v>
      </c>
      <c r="C367" t="s">
        <v>1272</v>
      </c>
      <c r="D367" t="s">
        <v>909</v>
      </c>
      <c r="E367" t="s">
        <v>62</v>
      </c>
      <c r="F367" t="s">
        <v>913</v>
      </c>
      <c r="G367" t="s">
        <v>220</v>
      </c>
      <c r="H367" s="1">
        <v>45986</v>
      </c>
      <c r="I367" t="s">
        <v>229</v>
      </c>
      <c r="J367" t="s">
        <v>914</v>
      </c>
      <c r="K367">
        <v>5</v>
      </c>
      <c r="L367">
        <v>0</v>
      </c>
      <c r="M367">
        <v>0</v>
      </c>
      <c r="N367">
        <v>0</v>
      </c>
      <c r="O367">
        <v>1</v>
      </c>
      <c r="P367">
        <v>0</v>
      </c>
      <c r="Q367">
        <v>1</v>
      </c>
      <c r="R367" t="s">
        <v>202</v>
      </c>
      <c r="S367" t="s">
        <v>916</v>
      </c>
    </row>
    <row r="368" spans="1:19" hidden="1" x14ac:dyDescent="0.2">
      <c r="A368">
        <v>293</v>
      </c>
      <c r="B368" t="s">
        <v>43</v>
      </c>
      <c r="C368" t="s">
        <v>1272</v>
      </c>
      <c r="D368" t="s">
        <v>909</v>
      </c>
      <c r="E368" t="s">
        <v>62</v>
      </c>
      <c r="F368" t="s">
        <v>533</v>
      </c>
      <c r="G368" t="s">
        <v>220</v>
      </c>
      <c r="H368" s="1">
        <v>45986</v>
      </c>
      <c r="I368" t="s">
        <v>229</v>
      </c>
      <c r="J368" t="s">
        <v>918</v>
      </c>
      <c r="K368">
        <v>5</v>
      </c>
      <c r="L368">
        <v>0</v>
      </c>
      <c r="M368">
        <v>0</v>
      </c>
      <c r="N368">
        <v>0</v>
      </c>
      <c r="O368">
        <v>1</v>
      </c>
      <c r="P368">
        <v>0</v>
      </c>
      <c r="Q368">
        <v>1</v>
      </c>
      <c r="R368" t="s">
        <v>222</v>
      </c>
      <c r="S368" t="s">
        <v>252</v>
      </c>
    </row>
    <row r="369" spans="1:19" hidden="1" x14ac:dyDescent="0.2">
      <c r="A369">
        <v>293</v>
      </c>
      <c r="B369" t="s">
        <v>43</v>
      </c>
      <c r="C369" t="s">
        <v>1272</v>
      </c>
      <c r="D369" t="s">
        <v>909</v>
      </c>
      <c r="E369" t="s">
        <v>62</v>
      </c>
      <c r="F369" t="s">
        <v>393</v>
      </c>
      <c r="G369" t="s">
        <v>220</v>
      </c>
      <c r="H369" s="1">
        <v>45986</v>
      </c>
      <c r="I369" t="s">
        <v>229</v>
      </c>
      <c r="J369" t="s">
        <v>914</v>
      </c>
      <c r="K369">
        <v>5</v>
      </c>
      <c r="L369">
        <v>0</v>
      </c>
      <c r="M369">
        <v>0</v>
      </c>
      <c r="N369">
        <v>0</v>
      </c>
      <c r="O369">
        <v>1</v>
      </c>
      <c r="P369">
        <v>0</v>
      </c>
      <c r="Q369">
        <v>1</v>
      </c>
      <c r="R369" t="s">
        <v>222</v>
      </c>
      <c r="S369" t="s">
        <v>325</v>
      </c>
    </row>
    <row r="370" spans="1:19" hidden="1" x14ac:dyDescent="0.2">
      <c r="A370">
        <v>293</v>
      </c>
      <c r="B370" t="s">
        <v>43</v>
      </c>
      <c r="C370" t="s">
        <v>1272</v>
      </c>
      <c r="D370" t="s">
        <v>909</v>
      </c>
      <c r="E370" t="s">
        <v>62</v>
      </c>
      <c r="F370" t="s">
        <v>393</v>
      </c>
      <c r="G370" t="s">
        <v>220</v>
      </c>
      <c r="H370" s="1">
        <v>45986</v>
      </c>
      <c r="I370" t="s">
        <v>229</v>
      </c>
      <c r="J370" t="s">
        <v>914</v>
      </c>
      <c r="K370">
        <v>5</v>
      </c>
      <c r="L370">
        <v>0</v>
      </c>
      <c r="M370">
        <v>0</v>
      </c>
      <c r="N370">
        <v>0</v>
      </c>
      <c r="O370">
        <v>1</v>
      </c>
      <c r="P370">
        <v>0</v>
      </c>
      <c r="Q370">
        <v>1</v>
      </c>
      <c r="R370" t="s">
        <v>202</v>
      </c>
      <c r="S370" t="s">
        <v>921</v>
      </c>
    </row>
    <row r="371" spans="1:19" hidden="1" x14ac:dyDescent="0.2">
      <c r="A371">
        <v>292</v>
      </c>
      <c r="B371" t="s">
        <v>125</v>
      </c>
      <c r="C371" t="s">
        <v>1273</v>
      </c>
      <c r="D371" t="s">
        <v>903</v>
      </c>
      <c r="E371" t="s">
        <v>15</v>
      </c>
      <c r="F371" t="s">
        <v>20</v>
      </c>
      <c r="G371" t="s">
        <v>17</v>
      </c>
      <c r="H371" s="1">
        <v>45986</v>
      </c>
      <c r="I371" t="s">
        <v>701</v>
      </c>
      <c r="J371" t="s">
        <v>904</v>
      </c>
      <c r="K371">
        <v>5</v>
      </c>
      <c r="L371">
        <v>1</v>
      </c>
      <c r="M371">
        <v>1</v>
      </c>
      <c r="N371">
        <v>0</v>
      </c>
      <c r="O371">
        <v>1</v>
      </c>
      <c r="P371">
        <v>0</v>
      </c>
      <c r="Q371">
        <v>1</v>
      </c>
    </row>
    <row r="372" spans="1:19" hidden="1" x14ac:dyDescent="0.2">
      <c r="A372">
        <v>292</v>
      </c>
      <c r="B372" t="s">
        <v>125</v>
      </c>
      <c r="C372" t="s">
        <v>1273</v>
      </c>
      <c r="D372" t="s">
        <v>903</v>
      </c>
      <c r="E372" t="s">
        <v>15</v>
      </c>
      <c r="F372" t="s">
        <v>379</v>
      </c>
      <c r="G372" t="s">
        <v>17</v>
      </c>
      <c r="H372" s="1">
        <v>45986</v>
      </c>
      <c r="I372" t="s">
        <v>701</v>
      </c>
      <c r="J372" t="s">
        <v>905</v>
      </c>
      <c r="K372">
        <v>5</v>
      </c>
      <c r="L372">
        <v>1</v>
      </c>
      <c r="M372">
        <v>1</v>
      </c>
      <c r="N372">
        <v>0</v>
      </c>
      <c r="O372">
        <v>1</v>
      </c>
      <c r="P372">
        <v>0</v>
      </c>
      <c r="Q372">
        <v>1</v>
      </c>
    </row>
    <row r="373" spans="1:19" hidden="1" x14ac:dyDescent="0.2">
      <c r="A373">
        <v>292</v>
      </c>
      <c r="B373" t="s">
        <v>125</v>
      </c>
      <c r="C373" t="s">
        <v>1273</v>
      </c>
      <c r="D373" t="s">
        <v>903</v>
      </c>
      <c r="E373" t="s">
        <v>192</v>
      </c>
      <c r="F373" t="s">
        <v>906</v>
      </c>
      <c r="G373" t="s">
        <v>17</v>
      </c>
      <c r="H373" s="1">
        <v>45986</v>
      </c>
      <c r="I373" t="s">
        <v>701</v>
      </c>
      <c r="J373" t="s">
        <v>907</v>
      </c>
      <c r="K373">
        <v>5</v>
      </c>
      <c r="L373">
        <v>1</v>
      </c>
      <c r="M373">
        <v>1</v>
      </c>
      <c r="N373">
        <v>0</v>
      </c>
      <c r="O373">
        <v>1</v>
      </c>
      <c r="P373">
        <v>0</v>
      </c>
      <c r="Q373">
        <v>1</v>
      </c>
    </row>
    <row r="374" spans="1:19" hidden="1" x14ac:dyDescent="0.2">
      <c r="A374">
        <v>292</v>
      </c>
      <c r="B374" t="s">
        <v>125</v>
      </c>
      <c r="C374" t="s">
        <v>1273</v>
      </c>
      <c r="D374" t="s">
        <v>903</v>
      </c>
      <c r="E374" t="s">
        <v>15</v>
      </c>
      <c r="F374" t="s">
        <v>124</v>
      </c>
      <c r="G374" t="s">
        <v>17</v>
      </c>
      <c r="H374" s="1">
        <v>45986</v>
      </c>
      <c r="I374" t="s">
        <v>701</v>
      </c>
      <c r="J374" t="s">
        <v>908</v>
      </c>
      <c r="K374">
        <v>5</v>
      </c>
      <c r="L374">
        <v>1</v>
      </c>
      <c r="M374">
        <v>1</v>
      </c>
      <c r="N374">
        <v>0</v>
      </c>
      <c r="O374">
        <v>1</v>
      </c>
      <c r="P374">
        <v>0</v>
      </c>
      <c r="Q374">
        <v>1</v>
      </c>
    </row>
    <row r="375" spans="1:19" hidden="1" x14ac:dyDescent="0.2">
      <c r="A375">
        <v>290</v>
      </c>
      <c r="B375" t="s">
        <v>65</v>
      </c>
      <c r="C375" t="s">
        <v>1276</v>
      </c>
      <c r="D375" t="s">
        <v>895</v>
      </c>
      <c r="E375" t="s">
        <v>66</v>
      </c>
      <c r="F375" t="s">
        <v>140</v>
      </c>
      <c r="G375" t="s">
        <v>17</v>
      </c>
      <c r="H375" s="1">
        <v>45986</v>
      </c>
      <c r="I375" t="s">
        <v>68</v>
      </c>
      <c r="J375" t="s">
        <v>896</v>
      </c>
      <c r="K375">
        <v>5</v>
      </c>
      <c r="L375">
        <v>1</v>
      </c>
      <c r="M375">
        <v>1</v>
      </c>
      <c r="N375">
        <v>0</v>
      </c>
      <c r="O375">
        <v>0</v>
      </c>
      <c r="P375">
        <v>0</v>
      </c>
      <c r="Q375">
        <v>1</v>
      </c>
    </row>
    <row r="376" spans="1:19" hidden="1" x14ac:dyDescent="0.2">
      <c r="A376">
        <v>290</v>
      </c>
      <c r="B376" t="s">
        <v>65</v>
      </c>
      <c r="C376" t="s">
        <v>1276</v>
      </c>
      <c r="D376" t="s">
        <v>895</v>
      </c>
      <c r="E376" t="s">
        <v>66</v>
      </c>
      <c r="F376" t="s">
        <v>71</v>
      </c>
      <c r="G376" t="s">
        <v>17</v>
      </c>
      <c r="H376" s="1">
        <v>45986</v>
      </c>
      <c r="I376" t="s">
        <v>68</v>
      </c>
      <c r="J376" t="s">
        <v>897</v>
      </c>
      <c r="K376">
        <v>5</v>
      </c>
      <c r="L376">
        <v>1</v>
      </c>
      <c r="M376">
        <v>1</v>
      </c>
      <c r="N376">
        <v>0</v>
      </c>
      <c r="O376">
        <v>0</v>
      </c>
      <c r="P376">
        <v>0</v>
      </c>
      <c r="Q376">
        <v>1</v>
      </c>
    </row>
    <row r="377" spans="1:19" hidden="1" x14ac:dyDescent="0.2">
      <c r="A377">
        <v>317</v>
      </c>
      <c r="B377" t="s">
        <v>967</v>
      </c>
      <c r="C377" t="s">
        <v>202</v>
      </c>
      <c r="D377" t="s">
        <v>1027</v>
      </c>
      <c r="E377" t="s">
        <v>1028</v>
      </c>
      <c r="F377" t="s">
        <v>1029</v>
      </c>
      <c r="G377" t="s">
        <v>47</v>
      </c>
      <c r="H377" s="1">
        <v>45987</v>
      </c>
      <c r="I377" t="s">
        <v>1030</v>
      </c>
      <c r="J377" t="s">
        <v>1031</v>
      </c>
      <c r="K377">
        <v>5</v>
      </c>
      <c r="L377">
        <v>1</v>
      </c>
      <c r="M377">
        <v>1</v>
      </c>
      <c r="N377">
        <v>1</v>
      </c>
      <c r="O377">
        <v>1</v>
      </c>
      <c r="P377">
        <v>1</v>
      </c>
      <c r="Q377">
        <v>1</v>
      </c>
    </row>
    <row r="378" spans="1:19" hidden="1" x14ac:dyDescent="0.2">
      <c r="A378">
        <v>299</v>
      </c>
      <c r="B378" t="s">
        <v>13</v>
      </c>
      <c r="C378" t="s">
        <v>1276</v>
      </c>
      <c r="D378" t="s">
        <v>924</v>
      </c>
      <c r="E378" t="s">
        <v>66</v>
      </c>
      <c r="F378" t="s">
        <v>138</v>
      </c>
      <c r="G378" t="s">
        <v>17</v>
      </c>
      <c r="H378" s="1">
        <v>45987</v>
      </c>
      <c r="I378" t="s">
        <v>471</v>
      </c>
      <c r="J378" t="s">
        <v>925</v>
      </c>
      <c r="K378">
        <v>5</v>
      </c>
      <c r="L378">
        <v>0</v>
      </c>
      <c r="M378">
        <v>0</v>
      </c>
      <c r="N378">
        <v>0</v>
      </c>
      <c r="O378">
        <v>0</v>
      </c>
      <c r="P378">
        <v>0</v>
      </c>
      <c r="Q378">
        <v>1</v>
      </c>
    </row>
    <row r="379" spans="1:19" hidden="1" x14ac:dyDescent="0.2">
      <c r="A379">
        <v>299</v>
      </c>
      <c r="B379" t="s">
        <v>13</v>
      </c>
      <c r="C379" t="s">
        <v>1276</v>
      </c>
      <c r="D379" t="s">
        <v>924</v>
      </c>
      <c r="E379" t="s">
        <v>66</v>
      </c>
      <c r="F379" t="s">
        <v>67</v>
      </c>
      <c r="G379" t="s">
        <v>17</v>
      </c>
      <c r="H379" s="1">
        <v>45987</v>
      </c>
      <c r="I379" t="s">
        <v>471</v>
      </c>
      <c r="J379" t="s">
        <v>926</v>
      </c>
      <c r="K379">
        <v>5</v>
      </c>
      <c r="L379">
        <v>0</v>
      </c>
      <c r="M379">
        <v>0</v>
      </c>
      <c r="N379">
        <v>0</v>
      </c>
      <c r="O379">
        <v>0</v>
      </c>
      <c r="P379">
        <v>0</v>
      </c>
      <c r="Q379">
        <v>1</v>
      </c>
    </row>
    <row r="380" spans="1:19" hidden="1" x14ac:dyDescent="0.2">
      <c r="A380">
        <v>299</v>
      </c>
      <c r="B380" t="s">
        <v>13</v>
      </c>
      <c r="C380" t="s">
        <v>1276</v>
      </c>
      <c r="D380" t="s">
        <v>924</v>
      </c>
      <c r="E380" t="s">
        <v>66</v>
      </c>
      <c r="F380" t="s">
        <v>71</v>
      </c>
      <c r="G380" t="s">
        <v>17</v>
      </c>
      <c r="H380" s="1">
        <v>45987</v>
      </c>
      <c r="I380" t="s">
        <v>471</v>
      </c>
      <c r="J380" t="s">
        <v>927</v>
      </c>
      <c r="K380">
        <v>5</v>
      </c>
      <c r="L380">
        <v>0</v>
      </c>
      <c r="M380">
        <v>0</v>
      </c>
      <c r="N380">
        <v>0</v>
      </c>
      <c r="O380">
        <v>0</v>
      </c>
      <c r="P380">
        <v>0</v>
      </c>
      <c r="Q380">
        <v>1</v>
      </c>
    </row>
    <row r="381" spans="1:19" hidden="1" x14ac:dyDescent="0.2">
      <c r="A381">
        <v>311</v>
      </c>
      <c r="B381" t="s">
        <v>78</v>
      </c>
      <c r="C381" t="s">
        <v>202</v>
      </c>
      <c r="D381" t="s">
        <v>1001</v>
      </c>
      <c r="E381" t="s">
        <v>1002</v>
      </c>
      <c r="F381" t="s">
        <v>1003</v>
      </c>
      <c r="G381" t="s">
        <v>17</v>
      </c>
      <c r="H381" s="1">
        <v>45988</v>
      </c>
      <c r="I381" t="s">
        <v>1004</v>
      </c>
      <c r="J381" t="s">
        <v>1005</v>
      </c>
      <c r="K381">
        <v>5</v>
      </c>
      <c r="L381">
        <v>1</v>
      </c>
      <c r="M381">
        <v>1</v>
      </c>
      <c r="N381">
        <v>1</v>
      </c>
      <c r="O381">
        <v>1</v>
      </c>
      <c r="P381">
        <v>1</v>
      </c>
      <c r="Q381">
        <v>1</v>
      </c>
    </row>
    <row r="382" spans="1:19" hidden="1" x14ac:dyDescent="0.2">
      <c r="A382">
        <v>309</v>
      </c>
      <c r="B382" t="s">
        <v>967</v>
      </c>
      <c r="C382" t="s">
        <v>202</v>
      </c>
      <c r="D382" t="s">
        <v>998</v>
      </c>
      <c r="E382" t="s">
        <v>523</v>
      </c>
      <c r="F382" t="s">
        <v>524</v>
      </c>
      <c r="G382" t="s">
        <v>17</v>
      </c>
      <c r="H382" s="1">
        <v>45988</v>
      </c>
      <c r="I382" t="s">
        <v>999</v>
      </c>
      <c r="J382" t="s">
        <v>1000</v>
      </c>
      <c r="K382">
        <v>5</v>
      </c>
      <c r="L382">
        <v>1</v>
      </c>
      <c r="M382">
        <v>1</v>
      </c>
      <c r="N382">
        <v>0</v>
      </c>
      <c r="O382">
        <v>0</v>
      </c>
      <c r="P382">
        <v>0</v>
      </c>
      <c r="Q382">
        <v>1</v>
      </c>
    </row>
    <row r="383" spans="1:19" hidden="1" x14ac:dyDescent="0.2">
      <c r="A383">
        <v>302</v>
      </c>
      <c r="B383" t="s">
        <v>125</v>
      </c>
      <c r="C383" t="s">
        <v>1273</v>
      </c>
      <c r="D383" t="s">
        <v>50</v>
      </c>
      <c r="E383" t="s">
        <v>15</v>
      </c>
      <c r="F383" t="s">
        <v>16</v>
      </c>
      <c r="G383" t="s">
        <v>17</v>
      </c>
      <c r="H383" s="1">
        <v>45988</v>
      </c>
      <c r="I383" t="s">
        <v>701</v>
      </c>
      <c r="J383" t="s">
        <v>931</v>
      </c>
      <c r="K383">
        <v>5</v>
      </c>
      <c r="L383">
        <v>1</v>
      </c>
      <c r="M383">
        <v>1</v>
      </c>
      <c r="N383">
        <v>0</v>
      </c>
      <c r="O383">
        <v>1</v>
      </c>
      <c r="P383">
        <v>0</v>
      </c>
      <c r="Q383">
        <v>1</v>
      </c>
    </row>
    <row r="384" spans="1:19" hidden="1" x14ac:dyDescent="0.2">
      <c r="A384">
        <v>302</v>
      </c>
      <c r="B384" t="s">
        <v>125</v>
      </c>
      <c r="C384" t="s">
        <v>1273</v>
      </c>
      <c r="D384" t="s">
        <v>50</v>
      </c>
      <c r="E384" t="s">
        <v>15</v>
      </c>
      <c r="F384" t="s">
        <v>932</v>
      </c>
      <c r="G384" t="s">
        <v>17</v>
      </c>
      <c r="H384" s="1">
        <v>45988</v>
      </c>
      <c r="I384" t="s">
        <v>701</v>
      </c>
      <c r="J384" t="s">
        <v>933</v>
      </c>
      <c r="K384">
        <v>5</v>
      </c>
      <c r="L384">
        <v>1</v>
      </c>
      <c r="M384">
        <v>1</v>
      </c>
      <c r="N384">
        <v>0</v>
      </c>
      <c r="O384">
        <v>1</v>
      </c>
      <c r="P384">
        <v>0</v>
      </c>
      <c r="Q384">
        <v>1</v>
      </c>
    </row>
    <row r="385" spans="1:19" hidden="1" x14ac:dyDescent="0.2">
      <c r="A385">
        <v>302</v>
      </c>
      <c r="B385" t="s">
        <v>125</v>
      </c>
      <c r="C385" t="s">
        <v>1273</v>
      </c>
      <c r="D385" t="s">
        <v>50</v>
      </c>
      <c r="E385" t="s">
        <v>15</v>
      </c>
      <c r="F385" t="s">
        <v>934</v>
      </c>
      <c r="G385" t="s">
        <v>17</v>
      </c>
      <c r="H385" s="1">
        <v>45988</v>
      </c>
      <c r="I385" t="s">
        <v>701</v>
      </c>
      <c r="J385" t="s">
        <v>935</v>
      </c>
      <c r="K385">
        <v>5</v>
      </c>
      <c r="L385">
        <v>1</v>
      </c>
      <c r="M385">
        <v>1</v>
      </c>
      <c r="N385">
        <v>0</v>
      </c>
      <c r="O385">
        <v>1</v>
      </c>
      <c r="P385">
        <v>0</v>
      </c>
      <c r="Q385">
        <v>1</v>
      </c>
    </row>
    <row r="386" spans="1:19" hidden="1" x14ac:dyDescent="0.2">
      <c r="A386">
        <v>302</v>
      </c>
      <c r="B386" t="s">
        <v>125</v>
      </c>
      <c r="C386" t="s">
        <v>1273</v>
      </c>
      <c r="D386" t="s">
        <v>50</v>
      </c>
      <c r="E386" t="s">
        <v>15</v>
      </c>
      <c r="F386" t="s">
        <v>570</v>
      </c>
      <c r="G386" t="s">
        <v>17</v>
      </c>
      <c r="H386" s="1">
        <v>45988</v>
      </c>
      <c r="I386" t="s">
        <v>701</v>
      </c>
      <c r="J386" t="s">
        <v>935</v>
      </c>
      <c r="K386">
        <v>5</v>
      </c>
      <c r="L386">
        <v>1</v>
      </c>
      <c r="M386">
        <v>1</v>
      </c>
      <c r="N386">
        <v>0</v>
      </c>
      <c r="O386">
        <v>1</v>
      </c>
      <c r="P386">
        <v>0</v>
      </c>
      <c r="Q386">
        <v>1</v>
      </c>
    </row>
    <row r="387" spans="1:19" hidden="1" x14ac:dyDescent="0.2">
      <c r="A387">
        <v>302</v>
      </c>
      <c r="B387" t="s">
        <v>125</v>
      </c>
      <c r="C387" t="s">
        <v>1273</v>
      </c>
      <c r="D387" t="s">
        <v>50</v>
      </c>
      <c r="E387" t="s">
        <v>192</v>
      </c>
      <c r="F387" t="s">
        <v>936</v>
      </c>
      <c r="G387" t="s">
        <v>17</v>
      </c>
      <c r="H387" s="1">
        <v>45988</v>
      </c>
      <c r="I387" t="s">
        <v>701</v>
      </c>
      <c r="J387" t="s">
        <v>935</v>
      </c>
      <c r="K387">
        <v>5</v>
      </c>
      <c r="L387">
        <v>1</v>
      </c>
      <c r="M387">
        <v>1</v>
      </c>
      <c r="N387">
        <v>0</v>
      </c>
      <c r="O387">
        <v>1</v>
      </c>
      <c r="P387">
        <v>0</v>
      </c>
      <c r="Q387">
        <v>1</v>
      </c>
    </row>
    <row r="388" spans="1:19" ht="224" hidden="1" x14ac:dyDescent="0.2">
      <c r="A388">
        <v>300</v>
      </c>
      <c r="B388" t="s">
        <v>13</v>
      </c>
      <c r="C388" t="s">
        <v>1276</v>
      </c>
      <c r="D388" t="s">
        <v>928</v>
      </c>
      <c r="E388" t="s">
        <v>66</v>
      </c>
      <c r="F388" t="s">
        <v>138</v>
      </c>
      <c r="G388" t="s">
        <v>17</v>
      </c>
      <c r="H388" s="1">
        <v>45988</v>
      </c>
      <c r="I388" t="s">
        <v>471</v>
      </c>
      <c r="J388" s="3" t="s">
        <v>929</v>
      </c>
      <c r="K388">
        <v>5</v>
      </c>
      <c r="L388">
        <v>0</v>
      </c>
      <c r="M388">
        <v>0</v>
      </c>
      <c r="N388">
        <v>0</v>
      </c>
      <c r="O388">
        <v>0</v>
      </c>
      <c r="P388">
        <v>0</v>
      </c>
      <c r="Q388">
        <v>1</v>
      </c>
    </row>
    <row r="389" spans="1:19" ht="409.6" hidden="1" x14ac:dyDescent="0.2">
      <c r="A389">
        <v>300</v>
      </c>
      <c r="B389" t="s">
        <v>13</v>
      </c>
      <c r="C389" t="s">
        <v>1276</v>
      </c>
      <c r="D389" t="s">
        <v>928</v>
      </c>
      <c r="E389" t="s">
        <v>66</v>
      </c>
      <c r="F389" t="s">
        <v>71</v>
      </c>
      <c r="G389" t="s">
        <v>17</v>
      </c>
      <c r="H389" s="1">
        <v>45988</v>
      </c>
      <c r="I389" t="s">
        <v>471</v>
      </c>
      <c r="J389" s="3" t="s">
        <v>930</v>
      </c>
      <c r="K389">
        <v>5</v>
      </c>
      <c r="L389">
        <v>0</v>
      </c>
      <c r="M389">
        <v>0</v>
      </c>
      <c r="N389">
        <v>0</v>
      </c>
      <c r="O389">
        <v>0</v>
      </c>
      <c r="P389">
        <v>0</v>
      </c>
      <c r="Q389">
        <v>1</v>
      </c>
    </row>
    <row r="390" spans="1:19" hidden="1" x14ac:dyDescent="0.2">
      <c r="A390">
        <v>305</v>
      </c>
      <c r="B390" t="s">
        <v>125</v>
      </c>
      <c r="C390" t="s">
        <v>1273</v>
      </c>
      <c r="D390" t="s">
        <v>50</v>
      </c>
      <c r="E390" t="s">
        <v>192</v>
      </c>
      <c r="F390" t="s">
        <v>941</v>
      </c>
      <c r="G390" t="s">
        <v>17</v>
      </c>
      <c r="H390" s="1">
        <v>45989</v>
      </c>
      <c r="I390" t="s">
        <v>701</v>
      </c>
      <c r="J390" t="s">
        <v>942</v>
      </c>
      <c r="K390">
        <v>5</v>
      </c>
      <c r="L390">
        <v>1</v>
      </c>
      <c r="M390">
        <v>1</v>
      </c>
      <c r="N390">
        <v>0</v>
      </c>
      <c r="O390">
        <v>1</v>
      </c>
      <c r="P390">
        <v>0</v>
      </c>
      <c r="Q390">
        <v>1</v>
      </c>
    </row>
    <row r="391" spans="1:19" hidden="1" x14ac:dyDescent="0.2">
      <c r="A391">
        <v>304</v>
      </c>
      <c r="B391" t="s">
        <v>61</v>
      </c>
      <c r="C391" t="s">
        <v>1272</v>
      </c>
      <c r="D391" t="s">
        <v>937</v>
      </c>
      <c r="E391" t="s">
        <v>62</v>
      </c>
      <c r="F391" t="s">
        <v>816</v>
      </c>
      <c r="G391" t="s">
        <v>220</v>
      </c>
      <c r="H391" s="1">
        <v>45989</v>
      </c>
      <c r="I391" t="s">
        <v>890</v>
      </c>
      <c r="J391" t="s">
        <v>938</v>
      </c>
      <c r="K391">
        <v>5</v>
      </c>
      <c r="L391">
        <v>1</v>
      </c>
      <c r="M391">
        <v>1</v>
      </c>
      <c r="N391">
        <v>0</v>
      </c>
      <c r="O391">
        <v>0</v>
      </c>
      <c r="P391">
        <v>1</v>
      </c>
      <c r="Q391">
        <v>1</v>
      </c>
      <c r="R391" t="s">
        <v>222</v>
      </c>
      <c r="S391" t="s">
        <v>252</v>
      </c>
    </row>
    <row r="392" spans="1:19" hidden="1" x14ac:dyDescent="0.2">
      <c r="A392">
        <v>308</v>
      </c>
      <c r="B392" t="s">
        <v>125</v>
      </c>
      <c r="C392" t="s">
        <v>1273</v>
      </c>
      <c r="D392" t="s">
        <v>50</v>
      </c>
      <c r="E392" t="s">
        <v>15</v>
      </c>
      <c r="F392" t="s">
        <v>165</v>
      </c>
      <c r="G392" t="s">
        <v>17</v>
      </c>
      <c r="H392" s="1">
        <v>45992</v>
      </c>
      <c r="I392" t="s">
        <v>701</v>
      </c>
      <c r="J392" t="s">
        <v>997</v>
      </c>
      <c r="K392">
        <v>5</v>
      </c>
      <c r="L392">
        <v>1</v>
      </c>
      <c r="M392">
        <v>1</v>
      </c>
      <c r="N392">
        <v>0</v>
      </c>
      <c r="O392">
        <v>1</v>
      </c>
      <c r="P392">
        <v>0</v>
      </c>
      <c r="Q392">
        <v>1</v>
      </c>
    </row>
    <row r="393" spans="1:19" hidden="1" x14ac:dyDescent="0.2">
      <c r="A393">
        <v>306</v>
      </c>
      <c r="B393" t="s">
        <v>13</v>
      </c>
      <c r="C393" t="s">
        <v>1272</v>
      </c>
      <c r="D393" t="s">
        <v>992</v>
      </c>
      <c r="E393" t="s">
        <v>62</v>
      </c>
      <c r="F393" t="s">
        <v>852</v>
      </c>
      <c r="G393" t="s">
        <v>17</v>
      </c>
      <c r="H393" s="1">
        <v>45992</v>
      </c>
      <c r="I393" t="s">
        <v>229</v>
      </c>
      <c r="J393" t="s">
        <v>993</v>
      </c>
      <c r="K393">
        <v>5</v>
      </c>
      <c r="L393">
        <v>0</v>
      </c>
      <c r="M393">
        <v>0</v>
      </c>
      <c r="N393">
        <v>0</v>
      </c>
      <c r="O393">
        <v>1</v>
      </c>
      <c r="P393">
        <v>0</v>
      </c>
      <c r="Q393">
        <v>1</v>
      </c>
    </row>
    <row r="394" spans="1:19" hidden="1" x14ac:dyDescent="0.2">
      <c r="A394">
        <v>306</v>
      </c>
      <c r="B394" t="s">
        <v>13</v>
      </c>
      <c r="C394" t="s">
        <v>1272</v>
      </c>
      <c r="D394" t="s">
        <v>992</v>
      </c>
      <c r="E394" t="s">
        <v>994</v>
      </c>
      <c r="F394" t="s">
        <v>995</v>
      </c>
      <c r="G394" t="s">
        <v>17</v>
      </c>
      <c r="H394" s="1">
        <v>45992</v>
      </c>
      <c r="I394" t="s">
        <v>229</v>
      </c>
      <c r="J394" t="s">
        <v>996</v>
      </c>
      <c r="K394">
        <v>5</v>
      </c>
      <c r="L394">
        <v>0</v>
      </c>
      <c r="M394">
        <v>0</v>
      </c>
      <c r="N394">
        <v>0</v>
      </c>
      <c r="O394">
        <v>1</v>
      </c>
      <c r="P394">
        <v>0</v>
      </c>
      <c r="Q394">
        <v>1</v>
      </c>
    </row>
    <row r="395" spans="1:19" ht="380" hidden="1" x14ac:dyDescent="0.2">
      <c r="A395">
        <v>314</v>
      </c>
      <c r="B395" t="s">
        <v>13</v>
      </c>
      <c r="C395" t="s">
        <v>1272</v>
      </c>
      <c r="D395" t="s">
        <v>1012</v>
      </c>
      <c r="E395" t="s">
        <v>62</v>
      </c>
      <c r="F395" t="s">
        <v>1318</v>
      </c>
      <c r="G395" t="s">
        <v>47</v>
      </c>
      <c r="H395" s="1">
        <v>45993</v>
      </c>
      <c r="I395" t="s">
        <v>890</v>
      </c>
      <c r="J395" s="3" t="s">
        <v>1013</v>
      </c>
      <c r="K395">
        <v>5</v>
      </c>
      <c r="L395">
        <v>0</v>
      </c>
      <c r="M395">
        <v>0</v>
      </c>
      <c r="N395">
        <v>0</v>
      </c>
      <c r="O395">
        <v>1</v>
      </c>
      <c r="P395">
        <v>0</v>
      </c>
      <c r="Q395">
        <v>1</v>
      </c>
    </row>
    <row r="396" spans="1:19" hidden="1" x14ac:dyDescent="0.2">
      <c r="A396">
        <v>314</v>
      </c>
      <c r="B396" t="s">
        <v>13</v>
      </c>
      <c r="C396" t="s">
        <v>1272</v>
      </c>
      <c r="D396" t="s">
        <v>1012</v>
      </c>
      <c r="E396" t="s">
        <v>62</v>
      </c>
      <c r="F396" t="s">
        <v>852</v>
      </c>
      <c r="G396" t="s">
        <v>17</v>
      </c>
      <c r="H396" s="1">
        <v>45993</v>
      </c>
      <c r="I396" t="s">
        <v>890</v>
      </c>
      <c r="J396" t="s">
        <v>1014</v>
      </c>
      <c r="K396">
        <v>5</v>
      </c>
      <c r="L396">
        <v>0</v>
      </c>
      <c r="M396">
        <v>0</v>
      </c>
      <c r="N396">
        <v>0</v>
      </c>
      <c r="O396">
        <v>1</v>
      </c>
      <c r="P396">
        <v>0</v>
      </c>
      <c r="Q396">
        <v>1</v>
      </c>
    </row>
    <row r="397" spans="1:19" hidden="1" x14ac:dyDescent="0.2">
      <c r="A397">
        <v>313</v>
      </c>
      <c r="B397" t="s">
        <v>125</v>
      </c>
      <c r="C397" t="s">
        <v>1273</v>
      </c>
      <c r="D397" t="s">
        <v>50</v>
      </c>
      <c r="E397" t="s">
        <v>192</v>
      </c>
      <c r="F397" t="s">
        <v>1015</v>
      </c>
      <c r="G397" t="s">
        <v>17</v>
      </c>
      <c r="H397" s="1">
        <v>45993</v>
      </c>
      <c r="I397" t="s">
        <v>701</v>
      </c>
      <c r="J397" t="s">
        <v>1016</v>
      </c>
      <c r="K397">
        <v>5</v>
      </c>
      <c r="L397">
        <v>1</v>
      </c>
      <c r="M397">
        <v>1</v>
      </c>
      <c r="N397">
        <v>0</v>
      </c>
      <c r="O397">
        <v>1</v>
      </c>
      <c r="P397">
        <v>0</v>
      </c>
      <c r="Q397">
        <v>1</v>
      </c>
    </row>
    <row r="398" spans="1:19" hidden="1" x14ac:dyDescent="0.2">
      <c r="A398">
        <v>313</v>
      </c>
      <c r="B398" t="s">
        <v>125</v>
      </c>
      <c r="C398" t="s">
        <v>1273</v>
      </c>
      <c r="D398" t="s">
        <v>50</v>
      </c>
      <c r="E398" t="s">
        <v>15</v>
      </c>
      <c r="F398" t="s">
        <v>316</v>
      </c>
      <c r="G398" t="s">
        <v>17</v>
      </c>
      <c r="H398" s="1">
        <v>45993</v>
      </c>
      <c r="I398" t="s">
        <v>701</v>
      </c>
      <c r="J398" t="s">
        <v>1017</v>
      </c>
      <c r="K398">
        <v>5</v>
      </c>
      <c r="L398">
        <v>1</v>
      </c>
      <c r="M398">
        <v>1</v>
      </c>
      <c r="N398">
        <v>0</v>
      </c>
      <c r="O398">
        <v>1</v>
      </c>
      <c r="P398">
        <v>0</v>
      </c>
      <c r="Q398">
        <v>1</v>
      </c>
    </row>
    <row r="399" spans="1:19" hidden="1" x14ac:dyDescent="0.2">
      <c r="A399">
        <v>313</v>
      </c>
      <c r="B399" t="s">
        <v>125</v>
      </c>
      <c r="C399" t="s">
        <v>1273</v>
      </c>
      <c r="D399" t="s">
        <v>50</v>
      </c>
      <c r="E399" t="s">
        <v>15</v>
      </c>
      <c r="F399" t="s">
        <v>104</v>
      </c>
      <c r="G399" t="s">
        <v>17</v>
      </c>
      <c r="H399" s="1">
        <v>45993</v>
      </c>
      <c r="I399" t="s">
        <v>701</v>
      </c>
      <c r="J399" t="s">
        <v>1018</v>
      </c>
      <c r="K399">
        <v>5</v>
      </c>
      <c r="L399">
        <v>1</v>
      </c>
      <c r="M399">
        <v>1</v>
      </c>
      <c r="N399">
        <v>0</v>
      </c>
      <c r="O399">
        <v>1</v>
      </c>
      <c r="P399">
        <v>0</v>
      </c>
      <c r="Q399">
        <v>1</v>
      </c>
    </row>
    <row r="400" spans="1:19" hidden="1" x14ac:dyDescent="0.2">
      <c r="A400">
        <v>313</v>
      </c>
      <c r="B400" t="s">
        <v>125</v>
      </c>
      <c r="C400" t="s">
        <v>1273</v>
      </c>
      <c r="D400" t="s">
        <v>50</v>
      </c>
      <c r="E400" t="s">
        <v>15</v>
      </c>
      <c r="F400" t="s">
        <v>209</v>
      </c>
      <c r="G400" t="s">
        <v>17</v>
      </c>
      <c r="H400" s="1">
        <v>45993</v>
      </c>
      <c r="I400" t="s">
        <v>701</v>
      </c>
      <c r="J400" t="s">
        <v>1019</v>
      </c>
      <c r="K400">
        <v>5</v>
      </c>
      <c r="L400">
        <v>1</v>
      </c>
      <c r="M400">
        <v>1</v>
      </c>
      <c r="N400">
        <v>0</v>
      </c>
      <c r="O400">
        <v>1</v>
      </c>
      <c r="P400">
        <v>0</v>
      </c>
      <c r="Q400">
        <v>1</v>
      </c>
    </row>
    <row r="401" spans="1:17" hidden="1" x14ac:dyDescent="0.2">
      <c r="A401">
        <v>312</v>
      </c>
      <c r="B401" t="s">
        <v>65</v>
      </c>
      <c r="C401" t="s">
        <v>1276</v>
      </c>
      <c r="D401" t="s">
        <v>1006</v>
      </c>
      <c r="E401" t="s">
        <v>62</v>
      </c>
      <c r="F401" t="s">
        <v>581</v>
      </c>
      <c r="G401" t="s">
        <v>17</v>
      </c>
      <c r="H401" s="1">
        <v>45993</v>
      </c>
      <c r="I401" t="s">
        <v>68</v>
      </c>
      <c r="J401" t="s">
        <v>1007</v>
      </c>
      <c r="K401">
        <v>5</v>
      </c>
      <c r="L401">
        <v>0</v>
      </c>
      <c r="M401">
        <v>0</v>
      </c>
      <c r="N401">
        <v>0</v>
      </c>
      <c r="O401">
        <v>1</v>
      </c>
      <c r="P401">
        <v>0</v>
      </c>
      <c r="Q401">
        <v>1</v>
      </c>
    </row>
    <row r="402" spans="1:17" hidden="1" x14ac:dyDescent="0.2">
      <c r="A402">
        <v>312</v>
      </c>
      <c r="B402" t="s">
        <v>65</v>
      </c>
      <c r="C402" t="s">
        <v>1276</v>
      </c>
      <c r="D402" t="s">
        <v>1006</v>
      </c>
      <c r="E402" t="s">
        <v>62</v>
      </c>
      <c r="F402" t="s">
        <v>1008</v>
      </c>
      <c r="G402" t="s">
        <v>17</v>
      </c>
      <c r="H402" s="1">
        <v>45993</v>
      </c>
      <c r="I402" t="s">
        <v>68</v>
      </c>
      <c r="J402" t="s">
        <v>1009</v>
      </c>
      <c r="K402">
        <v>5</v>
      </c>
      <c r="L402">
        <v>0</v>
      </c>
      <c r="M402">
        <v>0</v>
      </c>
      <c r="N402">
        <v>0</v>
      </c>
      <c r="O402">
        <v>1</v>
      </c>
      <c r="P402">
        <v>0</v>
      </c>
      <c r="Q402">
        <v>1</v>
      </c>
    </row>
    <row r="403" spans="1:17" hidden="1" x14ac:dyDescent="0.2">
      <c r="A403">
        <v>312</v>
      </c>
      <c r="B403" t="s">
        <v>65</v>
      </c>
      <c r="C403" t="s">
        <v>1276</v>
      </c>
      <c r="D403" t="s">
        <v>1006</v>
      </c>
      <c r="E403" t="s">
        <v>62</v>
      </c>
      <c r="F403" t="s">
        <v>477</v>
      </c>
      <c r="G403" t="s">
        <v>17</v>
      </c>
      <c r="H403" s="1">
        <v>45993</v>
      </c>
      <c r="I403" t="s">
        <v>68</v>
      </c>
      <c r="J403" t="s">
        <v>1010</v>
      </c>
      <c r="K403">
        <v>5</v>
      </c>
      <c r="L403">
        <v>0</v>
      </c>
      <c r="M403">
        <v>0</v>
      </c>
      <c r="N403">
        <v>0</v>
      </c>
      <c r="O403">
        <v>1</v>
      </c>
      <c r="P403">
        <v>0</v>
      </c>
      <c r="Q403">
        <v>1</v>
      </c>
    </row>
    <row r="404" spans="1:17" hidden="1" x14ac:dyDescent="0.2">
      <c r="A404">
        <v>312</v>
      </c>
      <c r="B404" t="s">
        <v>65</v>
      </c>
      <c r="C404" t="s">
        <v>1276</v>
      </c>
      <c r="D404" t="s">
        <v>1006</v>
      </c>
      <c r="E404" t="s">
        <v>62</v>
      </c>
      <c r="F404" t="s">
        <v>755</v>
      </c>
      <c r="G404" t="s">
        <v>17</v>
      </c>
      <c r="H404" s="1">
        <v>45993</v>
      </c>
      <c r="I404" t="s">
        <v>68</v>
      </c>
      <c r="J404" t="s">
        <v>1011</v>
      </c>
      <c r="K404">
        <v>5</v>
      </c>
      <c r="L404">
        <v>0</v>
      </c>
      <c r="M404">
        <v>0</v>
      </c>
      <c r="N404">
        <v>0</v>
      </c>
      <c r="O404">
        <v>1</v>
      </c>
      <c r="P404">
        <v>0</v>
      </c>
      <c r="Q404">
        <v>1</v>
      </c>
    </row>
    <row r="405" spans="1:17" hidden="1" x14ac:dyDescent="0.2">
      <c r="A405">
        <v>315</v>
      </c>
      <c r="B405" t="s">
        <v>13</v>
      </c>
      <c r="C405" t="s">
        <v>1273</v>
      </c>
      <c r="D405" t="s">
        <v>1020</v>
      </c>
      <c r="E405" t="s">
        <v>15</v>
      </c>
      <c r="F405" t="s">
        <v>1021</v>
      </c>
      <c r="G405" t="s">
        <v>47</v>
      </c>
      <c r="H405" s="1">
        <v>45994</v>
      </c>
      <c r="I405" t="s">
        <v>127</v>
      </c>
      <c r="J405" t="s">
        <v>1022</v>
      </c>
      <c r="K405">
        <v>5</v>
      </c>
      <c r="L405">
        <v>1</v>
      </c>
      <c r="M405">
        <v>1</v>
      </c>
      <c r="N405">
        <v>0</v>
      </c>
      <c r="O405">
        <v>1</v>
      </c>
      <c r="P405">
        <v>0</v>
      </c>
      <c r="Q405">
        <v>1</v>
      </c>
    </row>
    <row r="406" spans="1:17" hidden="1" x14ac:dyDescent="0.2">
      <c r="A406">
        <v>315</v>
      </c>
      <c r="B406" t="s">
        <v>13</v>
      </c>
      <c r="C406" t="s">
        <v>1273</v>
      </c>
      <c r="D406" t="s">
        <v>1020</v>
      </c>
      <c r="E406" t="s">
        <v>15</v>
      </c>
      <c r="F406" t="s">
        <v>1023</v>
      </c>
      <c r="G406" t="s">
        <v>17</v>
      </c>
      <c r="H406" s="1">
        <v>45994</v>
      </c>
      <c r="I406" t="s">
        <v>127</v>
      </c>
      <c r="J406" t="s">
        <v>1024</v>
      </c>
      <c r="K406">
        <v>5</v>
      </c>
      <c r="L406">
        <v>1</v>
      </c>
      <c r="M406">
        <v>1</v>
      </c>
      <c r="N406">
        <v>0</v>
      </c>
      <c r="O406">
        <v>1</v>
      </c>
      <c r="P406">
        <v>0</v>
      </c>
      <c r="Q406">
        <v>1</v>
      </c>
    </row>
    <row r="407" spans="1:17" ht="409.6" hidden="1" x14ac:dyDescent="0.2">
      <c r="A407">
        <v>315</v>
      </c>
      <c r="B407" t="s">
        <v>13</v>
      </c>
      <c r="C407" t="s">
        <v>1273</v>
      </c>
      <c r="D407" t="s">
        <v>1020</v>
      </c>
      <c r="E407" t="s">
        <v>15</v>
      </c>
      <c r="F407" t="s">
        <v>1025</v>
      </c>
      <c r="G407" t="s">
        <v>17</v>
      </c>
      <c r="H407" s="1">
        <v>45994</v>
      </c>
      <c r="I407" t="s">
        <v>127</v>
      </c>
      <c r="J407" s="3" t="s">
        <v>1026</v>
      </c>
      <c r="K407">
        <v>5</v>
      </c>
      <c r="L407">
        <v>1</v>
      </c>
      <c r="M407">
        <v>1</v>
      </c>
      <c r="N407">
        <v>0</v>
      </c>
      <c r="O407">
        <v>1</v>
      </c>
      <c r="P407">
        <v>0</v>
      </c>
      <c r="Q407">
        <v>1</v>
      </c>
    </row>
    <row r="408" spans="1:17" hidden="1" x14ac:dyDescent="0.2">
      <c r="A408">
        <v>318</v>
      </c>
      <c r="B408" t="s">
        <v>13</v>
      </c>
      <c r="C408" t="s">
        <v>1273</v>
      </c>
      <c r="D408" t="s">
        <v>50</v>
      </c>
      <c r="E408" t="s">
        <v>15</v>
      </c>
      <c r="F408" t="s">
        <v>168</v>
      </c>
      <c r="G408" t="s">
        <v>17</v>
      </c>
      <c r="H408" s="1">
        <v>45995</v>
      </c>
      <c r="I408" t="s">
        <v>127</v>
      </c>
      <c r="J408" t="s">
        <v>1032</v>
      </c>
      <c r="K408">
        <v>5</v>
      </c>
      <c r="L408">
        <v>1</v>
      </c>
      <c r="M408">
        <v>0</v>
      </c>
      <c r="N408">
        <v>0</v>
      </c>
      <c r="O408">
        <v>1</v>
      </c>
      <c r="P408">
        <v>0</v>
      </c>
      <c r="Q408">
        <v>1</v>
      </c>
    </row>
    <row r="409" spans="1:17" hidden="1" x14ac:dyDescent="0.2">
      <c r="A409">
        <v>318</v>
      </c>
      <c r="B409" t="s">
        <v>13</v>
      </c>
      <c r="C409" t="s">
        <v>1273</v>
      </c>
      <c r="D409" t="s">
        <v>50</v>
      </c>
      <c r="E409" t="s">
        <v>15</v>
      </c>
      <c r="F409" t="s">
        <v>508</v>
      </c>
      <c r="G409" t="s">
        <v>17</v>
      </c>
      <c r="H409" s="1">
        <v>45995</v>
      </c>
      <c r="I409" t="s">
        <v>127</v>
      </c>
      <c r="J409" t="s">
        <v>1033</v>
      </c>
      <c r="K409">
        <v>5</v>
      </c>
      <c r="L409">
        <v>1</v>
      </c>
      <c r="M409">
        <v>0</v>
      </c>
      <c r="N409">
        <v>0</v>
      </c>
      <c r="O409">
        <v>1</v>
      </c>
      <c r="P409">
        <v>0</v>
      </c>
      <c r="Q409">
        <v>1</v>
      </c>
    </row>
    <row r="410" spans="1:17" ht="240" hidden="1" x14ac:dyDescent="0.2">
      <c r="A410">
        <v>327</v>
      </c>
      <c r="B410" t="s">
        <v>13</v>
      </c>
      <c r="C410" t="s">
        <v>1273</v>
      </c>
      <c r="D410" t="s">
        <v>1055</v>
      </c>
      <c r="E410" t="s">
        <v>15</v>
      </c>
      <c r="F410" t="s">
        <v>169</v>
      </c>
      <c r="G410" t="s">
        <v>17</v>
      </c>
      <c r="H410" s="1">
        <v>45996</v>
      </c>
      <c r="I410" t="s">
        <v>127</v>
      </c>
      <c r="J410" s="3" t="s">
        <v>1056</v>
      </c>
      <c r="K410">
        <v>5</v>
      </c>
      <c r="L410">
        <v>1</v>
      </c>
      <c r="M410">
        <v>0</v>
      </c>
      <c r="N410">
        <v>0</v>
      </c>
      <c r="O410">
        <v>1</v>
      </c>
      <c r="P410">
        <v>0</v>
      </c>
      <c r="Q410">
        <v>1</v>
      </c>
    </row>
    <row r="411" spans="1:17" hidden="1" x14ac:dyDescent="0.2">
      <c r="A411">
        <v>327</v>
      </c>
      <c r="B411" t="s">
        <v>13</v>
      </c>
      <c r="C411" t="s">
        <v>1273</v>
      </c>
      <c r="D411" t="s">
        <v>1055</v>
      </c>
      <c r="E411" t="s">
        <v>1057</v>
      </c>
      <c r="F411" t="s">
        <v>1058</v>
      </c>
      <c r="G411" t="s">
        <v>17</v>
      </c>
      <c r="H411" s="1">
        <v>45996</v>
      </c>
      <c r="I411" t="s">
        <v>127</v>
      </c>
      <c r="J411" t="s">
        <v>1059</v>
      </c>
      <c r="K411">
        <v>5</v>
      </c>
      <c r="L411">
        <v>1</v>
      </c>
      <c r="M411">
        <v>0</v>
      </c>
      <c r="N411">
        <v>0</v>
      </c>
      <c r="O411">
        <v>1</v>
      </c>
      <c r="P411">
        <v>0</v>
      </c>
      <c r="Q411">
        <v>1</v>
      </c>
    </row>
    <row r="412" spans="1:17" hidden="1" x14ac:dyDescent="0.2">
      <c r="A412">
        <v>322</v>
      </c>
      <c r="B412" t="s">
        <v>43</v>
      </c>
      <c r="C412" t="s">
        <v>1272</v>
      </c>
      <c r="D412" t="s">
        <v>1037</v>
      </c>
      <c r="E412" t="s">
        <v>1038</v>
      </c>
      <c r="F412" t="s">
        <v>1039</v>
      </c>
      <c r="G412" t="s">
        <v>47</v>
      </c>
      <c r="H412" s="1">
        <v>46000</v>
      </c>
      <c r="I412" t="s">
        <v>149</v>
      </c>
      <c r="J412" t="s">
        <v>1040</v>
      </c>
      <c r="K412">
        <v>5</v>
      </c>
      <c r="L412">
        <v>0</v>
      </c>
      <c r="M412">
        <v>0</v>
      </c>
      <c r="N412">
        <v>0</v>
      </c>
      <c r="O412">
        <v>1</v>
      </c>
      <c r="P412">
        <v>0</v>
      </c>
      <c r="Q412">
        <v>1</v>
      </c>
    </row>
    <row r="413" spans="1:17" ht="409.6" hidden="1" x14ac:dyDescent="0.2">
      <c r="A413">
        <v>321</v>
      </c>
      <c r="B413" t="s">
        <v>28</v>
      </c>
      <c r="C413" t="s">
        <v>1273</v>
      </c>
      <c r="D413" t="s">
        <v>986</v>
      </c>
      <c r="E413" t="s">
        <v>987</v>
      </c>
      <c r="F413" t="s">
        <v>988</v>
      </c>
      <c r="G413" t="s">
        <v>17</v>
      </c>
      <c r="H413" s="1">
        <v>46000</v>
      </c>
      <c r="I413" t="s">
        <v>989</v>
      </c>
      <c r="J413" s="3" t="s">
        <v>990</v>
      </c>
      <c r="K413">
        <v>5</v>
      </c>
      <c r="L413">
        <v>1</v>
      </c>
      <c r="M413">
        <v>1</v>
      </c>
      <c r="N413">
        <v>0</v>
      </c>
      <c r="O413">
        <v>1</v>
      </c>
      <c r="P413">
        <v>0</v>
      </c>
      <c r="Q413">
        <v>1</v>
      </c>
    </row>
    <row r="414" spans="1:17" ht="256" hidden="1" x14ac:dyDescent="0.2">
      <c r="A414">
        <v>321</v>
      </c>
      <c r="B414" t="s">
        <v>28</v>
      </c>
      <c r="C414" t="s">
        <v>1273</v>
      </c>
      <c r="D414" t="s">
        <v>986</v>
      </c>
      <c r="E414" t="s">
        <v>15</v>
      </c>
      <c r="F414" t="s">
        <v>165</v>
      </c>
      <c r="G414" t="s">
        <v>17</v>
      </c>
      <c r="H414" s="1">
        <v>46000</v>
      </c>
      <c r="I414" t="s">
        <v>989</v>
      </c>
      <c r="J414" s="3" t="s">
        <v>991</v>
      </c>
      <c r="K414">
        <v>5</v>
      </c>
      <c r="L414">
        <v>1</v>
      </c>
      <c r="M414">
        <v>1</v>
      </c>
      <c r="N414">
        <v>0</v>
      </c>
      <c r="O414">
        <v>1</v>
      </c>
      <c r="P414">
        <v>0</v>
      </c>
      <c r="Q414">
        <v>1</v>
      </c>
    </row>
    <row r="415" spans="1:17" hidden="1" x14ac:dyDescent="0.2">
      <c r="A415">
        <v>320</v>
      </c>
      <c r="B415" t="s">
        <v>13</v>
      </c>
      <c r="C415" t="s">
        <v>1276</v>
      </c>
      <c r="D415" t="s">
        <v>1034</v>
      </c>
      <c r="E415" t="s">
        <v>66</v>
      </c>
      <c r="F415" t="s">
        <v>1035</v>
      </c>
      <c r="G415" t="s">
        <v>17</v>
      </c>
      <c r="H415" s="1">
        <v>46000</v>
      </c>
      <c r="I415" t="s">
        <v>471</v>
      </c>
      <c r="J415" t="s">
        <v>1036</v>
      </c>
      <c r="K415">
        <v>5</v>
      </c>
      <c r="L415">
        <v>0</v>
      </c>
      <c r="M415">
        <v>1</v>
      </c>
      <c r="N415">
        <v>0</v>
      </c>
      <c r="O415">
        <v>1</v>
      </c>
      <c r="P415">
        <v>0</v>
      </c>
      <c r="Q415">
        <v>1</v>
      </c>
    </row>
    <row r="416" spans="1:17" hidden="1" x14ac:dyDescent="0.2">
      <c r="A416">
        <v>326</v>
      </c>
      <c r="B416" t="s">
        <v>28</v>
      </c>
      <c r="C416" t="s">
        <v>1273</v>
      </c>
      <c r="D416" t="s">
        <v>1047</v>
      </c>
      <c r="E416" t="s">
        <v>15</v>
      </c>
      <c r="F416" t="s">
        <v>165</v>
      </c>
      <c r="G416" t="s">
        <v>17</v>
      </c>
      <c r="H416" s="1">
        <v>46001</v>
      </c>
      <c r="I416" t="s">
        <v>989</v>
      </c>
      <c r="J416" t="s">
        <v>1048</v>
      </c>
      <c r="K416">
        <v>5</v>
      </c>
      <c r="L416">
        <v>1</v>
      </c>
      <c r="M416">
        <v>1</v>
      </c>
      <c r="N416">
        <v>1</v>
      </c>
      <c r="O416">
        <v>1</v>
      </c>
      <c r="P416">
        <v>1</v>
      </c>
      <c r="Q416">
        <v>1</v>
      </c>
    </row>
    <row r="417" spans="1:21" hidden="1" x14ac:dyDescent="0.2">
      <c r="A417">
        <v>326</v>
      </c>
      <c r="B417" t="s">
        <v>28</v>
      </c>
      <c r="C417" t="s">
        <v>1273</v>
      </c>
      <c r="D417" t="s">
        <v>1047</v>
      </c>
      <c r="E417" t="s">
        <v>15</v>
      </c>
      <c r="F417" t="s">
        <v>167</v>
      </c>
      <c r="G417" t="s">
        <v>210</v>
      </c>
      <c r="H417" s="1">
        <v>46001</v>
      </c>
      <c r="I417" t="s">
        <v>989</v>
      </c>
      <c r="J417" t="s">
        <v>1049</v>
      </c>
      <c r="K417">
        <v>5</v>
      </c>
      <c r="L417">
        <v>1</v>
      </c>
      <c r="M417">
        <v>1</v>
      </c>
      <c r="N417">
        <v>1</v>
      </c>
      <c r="O417">
        <v>1</v>
      </c>
      <c r="P417">
        <v>1</v>
      </c>
      <c r="Q417">
        <v>1</v>
      </c>
      <c r="R417" t="s">
        <v>214</v>
      </c>
      <c r="S417" t="s">
        <v>1050</v>
      </c>
    </row>
    <row r="418" spans="1:21" hidden="1" x14ac:dyDescent="0.2">
      <c r="A418">
        <v>326</v>
      </c>
      <c r="B418" t="s">
        <v>28</v>
      </c>
      <c r="C418" t="s">
        <v>1273</v>
      </c>
      <c r="D418" t="s">
        <v>1047</v>
      </c>
      <c r="E418" t="s">
        <v>15</v>
      </c>
      <c r="F418" t="s">
        <v>167</v>
      </c>
      <c r="G418" t="s">
        <v>210</v>
      </c>
      <c r="H418" s="1">
        <v>46001</v>
      </c>
      <c r="I418" t="s">
        <v>989</v>
      </c>
      <c r="J418" t="s">
        <v>1049</v>
      </c>
      <c r="K418">
        <v>5</v>
      </c>
      <c r="L418">
        <v>1</v>
      </c>
      <c r="M418">
        <v>1</v>
      </c>
      <c r="N418">
        <v>1</v>
      </c>
      <c r="O418">
        <v>1</v>
      </c>
      <c r="P418">
        <v>1</v>
      </c>
      <c r="Q418">
        <v>1</v>
      </c>
      <c r="R418" t="s">
        <v>212</v>
      </c>
      <c r="S418" t="s">
        <v>352</v>
      </c>
    </row>
    <row r="419" spans="1:21" hidden="1" x14ac:dyDescent="0.2">
      <c r="A419">
        <v>326</v>
      </c>
      <c r="B419" t="s">
        <v>28</v>
      </c>
      <c r="C419" t="s">
        <v>1273</v>
      </c>
      <c r="D419" t="s">
        <v>1047</v>
      </c>
      <c r="E419" t="s">
        <v>15</v>
      </c>
      <c r="F419" t="s">
        <v>167</v>
      </c>
      <c r="G419" t="s">
        <v>210</v>
      </c>
      <c r="H419" s="1">
        <v>46001</v>
      </c>
      <c r="I419" t="s">
        <v>989</v>
      </c>
      <c r="J419" t="s">
        <v>1049</v>
      </c>
      <c r="K419">
        <v>5</v>
      </c>
      <c r="L419">
        <v>1</v>
      </c>
      <c r="M419">
        <v>1</v>
      </c>
      <c r="N419">
        <v>1</v>
      </c>
      <c r="O419">
        <v>1</v>
      </c>
      <c r="P419">
        <v>1</v>
      </c>
      <c r="Q419">
        <v>1</v>
      </c>
      <c r="R419" t="s">
        <v>761</v>
      </c>
      <c r="S419" t="s">
        <v>1053</v>
      </c>
    </row>
    <row r="420" spans="1:21" hidden="1" x14ac:dyDescent="0.2">
      <c r="A420">
        <v>325</v>
      </c>
      <c r="B420" t="s">
        <v>13</v>
      </c>
      <c r="C420" t="s">
        <v>1276</v>
      </c>
      <c r="D420" t="s">
        <v>1045</v>
      </c>
      <c r="E420" t="s">
        <v>66</v>
      </c>
      <c r="F420" t="s">
        <v>140</v>
      </c>
      <c r="G420" t="s">
        <v>17</v>
      </c>
      <c r="H420" s="1">
        <v>46001</v>
      </c>
      <c r="I420" t="s">
        <v>471</v>
      </c>
      <c r="J420" t="s">
        <v>1046</v>
      </c>
      <c r="K420">
        <v>5</v>
      </c>
      <c r="L420">
        <v>1</v>
      </c>
      <c r="M420">
        <v>1</v>
      </c>
      <c r="N420">
        <v>0</v>
      </c>
      <c r="O420">
        <v>0</v>
      </c>
      <c r="P420">
        <v>0</v>
      </c>
      <c r="Q420">
        <v>1</v>
      </c>
    </row>
    <row r="421" spans="1:21" x14ac:dyDescent="0.2">
      <c r="A421">
        <v>324</v>
      </c>
      <c r="B421" t="s">
        <v>106</v>
      </c>
      <c r="C421" t="s">
        <v>202</v>
      </c>
      <c r="D421" t="s">
        <v>289</v>
      </c>
      <c r="E421" t="s">
        <v>62</v>
      </c>
      <c r="F421" t="s">
        <v>889</v>
      </c>
      <c r="G421" t="s">
        <v>200</v>
      </c>
      <c r="H421" s="1">
        <v>46001</v>
      </c>
      <c r="I421" t="s">
        <v>471</v>
      </c>
      <c r="J421" t="s">
        <v>1041</v>
      </c>
      <c r="K421">
        <v>5</v>
      </c>
      <c r="L421">
        <v>0</v>
      </c>
      <c r="M421">
        <v>0</v>
      </c>
      <c r="N421">
        <v>0</v>
      </c>
      <c r="O421">
        <v>1</v>
      </c>
      <c r="P421">
        <v>0</v>
      </c>
      <c r="Q421">
        <v>1</v>
      </c>
      <c r="R421" t="s">
        <v>761</v>
      </c>
      <c r="S421" t="s">
        <v>1042</v>
      </c>
    </row>
    <row r="422" spans="1:21" hidden="1" x14ac:dyDescent="0.2">
      <c r="A422">
        <v>330</v>
      </c>
      <c r="B422" t="s">
        <v>65</v>
      </c>
      <c r="C422" t="s">
        <v>1276</v>
      </c>
      <c r="D422" t="s">
        <v>1064</v>
      </c>
      <c r="E422" t="s">
        <v>66</v>
      </c>
      <c r="F422" t="s">
        <v>140</v>
      </c>
      <c r="G422" t="s">
        <v>17</v>
      </c>
      <c r="H422" s="1">
        <v>46002</v>
      </c>
      <c r="I422" t="s">
        <v>68</v>
      </c>
      <c r="J422" t="s">
        <v>1065</v>
      </c>
      <c r="K422">
        <v>5</v>
      </c>
      <c r="L422">
        <v>1</v>
      </c>
      <c r="M422">
        <v>1</v>
      </c>
      <c r="N422">
        <v>1</v>
      </c>
      <c r="O422">
        <v>1</v>
      </c>
      <c r="P422">
        <v>1</v>
      </c>
      <c r="Q422">
        <v>1</v>
      </c>
    </row>
    <row r="423" spans="1:21" hidden="1" x14ac:dyDescent="0.2">
      <c r="A423">
        <v>329</v>
      </c>
      <c r="B423" t="s">
        <v>106</v>
      </c>
      <c r="C423" t="s">
        <v>202</v>
      </c>
      <c r="D423" t="s">
        <v>1060</v>
      </c>
      <c r="E423" t="s">
        <v>15</v>
      </c>
      <c r="F423" t="s">
        <v>129</v>
      </c>
      <c r="G423" t="s">
        <v>210</v>
      </c>
      <c r="H423" s="1">
        <v>46002</v>
      </c>
      <c r="I423" t="s">
        <v>1061</v>
      </c>
      <c r="J423" t="s">
        <v>1062</v>
      </c>
      <c r="K423">
        <v>5</v>
      </c>
      <c r="L423">
        <v>1</v>
      </c>
      <c r="M423">
        <v>1</v>
      </c>
      <c r="N423">
        <v>0</v>
      </c>
      <c r="O423">
        <v>1</v>
      </c>
      <c r="P423">
        <v>0</v>
      </c>
      <c r="Q423">
        <v>1</v>
      </c>
      <c r="R423" t="s">
        <v>202</v>
      </c>
      <c r="S423" t="s">
        <v>1063</v>
      </c>
    </row>
    <row r="424" spans="1:21" hidden="1" x14ac:dyDescent="0.2">
      <c r="A424">
        <v>334</v>
      </c>
      <c r="B424" t="s">
        <v>13</v>
      </c>
      <c r="C424" t="s">
        <v>1273</v>
      </c>
      <c r="D424" t="s">
        <v>1066</v>
      </c>
      <c r="E424" t="s">
        <v>15</v>
      </c>
      <c r="F424" t="s">
        <v>1067</v>
      </c>
      <c r="G424" t="s">
        <v>17</v>
      </c>
      <c r="H424" s="1">
        <v>46006</v>
      </c>
      <c r="I424" t="s">
        <v>127</v>
      </c>
      <c r="J424" t="s">
        <v>1068</v>
      </c>
      <c r="K424">
        <v>5</v>
      </c>
      <c r="L424">
        <v>1</v>
      </c>
      <c r="M424">
        <v>0</v>
      </c>
      <c r="N424">
        <v>0</v>
      </c>
      <c r="O424">
        <v>1</v>
      </c>
      <c r="P424">
        <v>0</v>
      </c>
      <c r="Q424">
        <v>1</v>
      </c>
      <c r="T424" t="s">
        <v>331</v>
      </c>
      <c r="U424" t="s">
        <v>332</v>
      </c>
    </row>
    <row r="425" spans="1:21" hidden="1" x14ac:dyDescent="0.2">
      <c r="A425">
        <v>338</v>
      </c>
      <c r="B425" t="s">
        <v>13</v>
      </c>
      <c r="C425" t="s">
        <v>1273</v>
      </c>
      <c r="D425" t="s">
        <v>289</v>
      </c>
      <c r="E425" t="s">
        <v>15</v>
      </c>
      <c r="F425" t="s">
        <v>170</v>
      </c>
      <c r="G425" t="s">
        <v>17</v>
      </c>
      <c r="H425" s="1">
        <v>46007</v>
      </c>
      <c r="I425" t="s">
        <v>127</v>
      </c>
      <c r="J425" t="s">
        <v>1080</v>
      </c>
      <c r="K425">
        <v>5</v>
      </c>
      <c r="L425">
        <v>1</v>
      </c>
      <c r="M425">
        <v>0</v>
      </c>
      <c r="N425">
        <v>0</v>
      </c>
      <c r="O425">
        <v>1</v>
      </c>
      <c r="P425">
        <v>0</v>
      </c>
      <c r="Q425">
        <v>1</v>
      </c>
      <c r="T425" t="s">
        <v>326</v>
      </c>
    </row>
    <row r="426" spans="1:21" hidden="1" x14ac:dyDescent="0.2">
      <c r="A426">
        <v>337</v>
      </c>
      <c r="B426" t="s">
        <v>106</v>
      </c>
      <c r="C426" t="s">
        <v>202</v>
      </c>
      <c r="D426" t="s">
        <v>1081</v>
      </c>
      <c r="E426" t="s">
        <v>62</v>
      </c>
      <c r="F426" t="s">
        <v>1082</v>
      </c>
      <c r="G426" t="s">
        <v>220</v>
      </c>
      <c r="H426" s="1">
        <v>46007</v>
      </c>
      <c r="I426" t="s">
        <v>471</v>
      </c>
      <c r="J426" t="s">
        <v>1083</v>
      </c>
      <c r="K426">
        <v>5</v>
      </c>
      <c r="L426">
        <v>1</v>
      </c>
      <c r="M426">
        <v>1</v>
      </c>
      <c r="N426">
        <v>1</v>
      </c>
      <c r="O426">
        <v>1</v>
      </c>
      <c r="P426">
        <v>0</v>
      </c>
      <c r="Q426">
        <v>1</v>
      </c>
      <c r="R426" t="s">
        <v>202</v>
      </c>
      <c r="S426" t="s">
        <v>314</v>
      </c>
      <c r="T426" t="s">
        <v>326</v>
      </c>
    </row>
    <row r="427" spans="1:21" ht="288" hidden="1" x14ac:dyDescent="0.2">
      <c r="A427">
        <v>336</v>
      </c>
      <c r="B427" t="s">
        <v>65</v>
      </c>
      <c r="C427" t="s">
        <v>1276</v>
      </c>
      <c r="D427" t="s">
        <v>1084</v>
      </c>
      <c r="E427" t="s">
        <v>66</v>
      </c>
      <c r="F427" t="s">
        <v>140</v>
      </c>
      <c r="G427" t="s">
        <v>17</v>
      </c>
      <c r="H427" s="1">
        <v>46007</v>
      </c>
      <c r="I427" t="s">
        <v>471</v>
      </c>
      <c r="J427" s="3" t="s">
        <v>1085</v>
      </c>
      <c r="K427">
        <v>5</v>
      </c>
      <c r="L427">
        <v>1</v>
      </c>
      <c r="M427">
        <v>1</v>
      </c>
      <c r="N427">
        <v>1</v>
      </c>
      <c r="O427">
        <v>1</v>
      </c>
      <c r="P427">
        <v>1</v>
      </c>
      <c r="Q427">
        <v>1</v>
      </c>
      <c r="T427" t="s">
        <v>314</v>
      </c>
      <c r="U427" t="s">
        <v>336</v>
      </c>
    </row>
    <row r="428" spans="1:21" hidden="1" x14ac:dyDescent="0.2">
      <c r="A428">
        <v>340</v>
      </c>
      <c r="B428" t="s">
        <v>65</v>
      </c>
      <c r="C428" t="s">
        <v>1276</v>
      </c>
      <c r="D428" t="s">
        <v>1074</v>
      </c>
      <c r="E428" t="s">
        <v>66</v>
      </c>
      <c r="F428" t="s">
        <v>140</v>
      </c>
      <c r="G428" t="s">
        <v>17</v>
      </c>
      <c r="H428" s="1">
        <v>46008</v>
      </c>
      <c r="I428" t="s">
        <v>68</v>
      </c>
      <c r="J428" t="s">
        <v>1075</v>
      </c>
      <c r="K428">
        <v>5</v>
      </c>
      <c r="L428">
        <v>1</v>
      </c>
      <c r="M428">
        <v>1</v>
      </c>
      <c r="N428">
        <v>1</v>
      </c>
      <c r="O428">
        <v>1</v>
      </c>
      <c r="P428">
        <v>1</v>
      </c>
      <c r="Q428">
        <v>1</v>
      </c>
      <c r="T428" t="s">
        <v>341</v>
      </c>
      <c r="U428" t="s">
        <v>342</v>
      </c>
    </row>
    <row r="429" spans="1:21" hidden="1" x14ac:dyDescent="0.2">
      <c r="A429">
        <v>339</v>
      </c>
      <c r="B429" t="s">
        <v>13</v>
      </c>
      <c r="C429" t="s">
        <v>1273</v>
      </c>
      <c r="D429" t="s">
        <v>1076</v>
      </c>
      <c r="E429" t="s">
        <v>15</v>
      </c>
      <c r="F429" t="s">
        <v>886</v>
      </c>
      <c r="G429" t="s">
        <v>17</v>
      </c>
      <c r="H429" s="1">
        <v>46008</v>
      </c>
      <c r="I429" t="s">
        <v>127</v>
      </c>
      <c r="J429" t="s">
        <v>1077</v>
      </c>
      <c r="K429">
        <v>5</v>
      </c>
      <c r="L429">
        <v>1</v>
      </c>
      <c r="M429">
        <v>0</v>
      </c>
      <c r="N429">
        <v>0</v>
      </c>
      <c r="O429">
        <v>1</v>
      </c>
      <c r="P429">
        <v>0</v>
      </c>
      <c r="Q429">
        <v>1</v>
      </c>
      <c r="T429" t="s">
        <v>345</v>
      </c>
    </row>
    <row r="430" spans="1:21" hidden="1" x14ac:dyDescent="0.2">
      <c r="A430">
        <v>339</v>
      </c>
      <c r="B430" t="s">
        <v>13</v>
      </c>
      <c r="C430" t="s">
        <v>1273</v>
      </c>
      <c r="D430" t="s">
        <v>1076</v>
      </c>
      <c r="E430" t="s">
        <v>15</v>
      </c>
      <c r="F430" t="s">
        <v>1078</v>
      </c>
      <c r="G430" t="s">
        <v>17</v>
      </c>
      <c r="H430" s="1">
        <v>46008</v>
      </c>
      <c r="I430" t="s">
        <v>127</v>
      </c>
      <c r="J430" t="s">
        <v>1079</v>
      </c>
      <c r="K430">
        <v>5</v>
      </c>
      <c r="L430">
        <v>1</v>
      </c>
      <c r="M430">
        <v>0</v>
      </c>
      <c r="N430">
        <v>0</v>
      </c>
      <c r="O430">
        <v>1</v>
      </c>
      <c r="P430">
        <v>0</v>
      </c>
      <c r="Q430">
        <v>1</v>
      </c>
      <c r="T430" t="s">
        <v>314</v>
      </c>
      <c r="U430" t="s">
        <v>349</v>
      </c>
    </row>
    <row r="431" spans="1:21" hidden="1" x14ac:dyDescent="0.2">
      <c r="A431">
        <v>342</v>
      </c>
      <c r="B431" t="s">
        <v>13</v>
      </c>
      <c r="C431" t="s">
        <v>1273</v>
      </c>
      <c r="D431" t="s">
        <v>1069</v>
      </c>
      <c r="E431" t="s">
        <v>15</v>
      </c>
      <c r="F431" t="s">
        <v>1067</v>
      </c>
      <c r="G431" t="s">
        <v>17</v>
      </c>
      <c r="H431" s="1">
        <v>46009</v>
      </c>
      <c r="I431" t="s">
        <v>127</v>
      </c>
      <c r="J431" t="s">
        <v>1070</v>
      </c>
      <c r="K431">
        <v>5</v>
      </c>
      <c r="L431">
        <v>1</v>
      </c>
      <c r="M431">
        <v>0</v>
      </c>
      <c r="N431">
        <v>0</v>
      </c>
      <c r="O431">
        <v>1</v>
      </c>
      <c r="P431">
        <v>0</v>
      </c>
      <c r="Q431">
        <v>1</v>
      </c>
      <c r="T431" t="s">
        <v>326</v>
      </c>
    </row>
    <row r="432" spans="1:21" hidden="1" x14ac:dyDescent="0.2">
      <c r="A432">
        <v>342</v>
      </c>
      <c r="B432" t="s">
        <v>13</v>
      </c>
      <c r="C432" t="s">
        <v>1273</v>
      </c>
      <c r="D432" t="s">
        <v>1069</v>
      </c>
      <c r="E432" t="s">
        <v>15</v>
      </c>
      <c r="F432" t="s">
        <v>883</v>
      </c>
      <c r="G432" t="s">
        <v>17</v>
      </c>
      <c r="H432" s="1">
        <v>46009</v>
      </c>
      <c r="I432" t="s">
        <v>127</v>
      </c>
      <c r="J432" t="s">
        <v>1071</v>
      </c>
      <c r="K432">
        <v>5</v>
      </c>
      <c r="L432">
        <v>1</v>
      </c>
      <c r="M432">
        <v>0</v>
      </c>
      <c r="N432">
        <v>0</v>
      </c>
      <c r="O432">
        <v>1</v>
      </c>
      <c r="P432">
        <v>0</v>
      </c>
      <c r="Q432">
        <v>1</v>
      </c>
      <c r="T432" t="s">
        <v>355</v>
      </c>
    </row>
    <row r="433" spans="1:21" hidden="1" x14ac:dyDescent="0.2">
      <c r="A433">
        <v>341</v>
      </c>
      <c r="B433" t="s">
        <v>65</v>
      </c>
      <c r="C433" t="s">
        <v>1276</v>
      </c>
      <c r="D433" t="s">
        <v>1072</v>
      </c>
      <c r="E433" t="s">
        <v>66</v>
      </c>
      <c r="F433" t="s">
        <v>140</v>
      </c>
      <c r="G433" t="s">
        <v>17</v>
      </c>
      <c r="H433" s="1">
        <v>46009</v>
      </c>
      <c r="I433" t="s">
        <v>471</v>
      </c>
      <c r="J433" t="s">
        <v>1073</v>
      </c>
      <c r="K433">
        <v>5</v>
      </c>
      <c r="L433">
        <v>1</v>
      </c>
      <c r="M433">
        <v>1</v>
      </c>
      <c r="N433">
        <v>1</v>
      </c>
      <c r="O433">
        <v>1</v>
      </c>
      <c r="P433">
        <v>1</v>
      </c>
      <c r="Q433">
        <v>1</v>
      </c>
      <c r="T433" t="s">
        <v>357</v>
      </c>
    </row>
    <row r="434" spans="1:21" hidden="1" x14ac:dyDescent="0.2">
      <c r="A434">
        <v>347</v>
      </c>
      <c r="B434" t="s">
        <v>125</v>
      </c>
      <c r="C434" t="s">
        <v>1273</v>
      </c>
      <c r="D434" t="s">
        <v>50</v>
      </c>
      <c r="E434" t="s">
        <v>15</v>
      </c>
      <c r="F434" t="s">
        <v>881</v>
      </c>
      <c r="G434" t="s">
        <v>17</v>
      </c>
      <c r="H434" s="1">
        <v>46013</v>
      </c>
      <c r="I434" t="s">
        <v>701</v>
      </c>
      <c r="J434" t="s">
        <v>1095</v>
      </c>
      <c r="K434">
        <v>5</v>
      </c>
      <c r="L434">
        <v>1</v>
      </c>
      <c r="M434">
        <v>1</v>
      </c>
      <c r="N434">
        <v>0</v>
      </c>
      <c r="O434">
        <v>1</v>
      </c>
      <c r="P434">
        <v>0</v>
      </c>
      <c r="Q434">
        <v>1</v>
      </c>
      <c r="T434" t="s">
        <v>357</v>
      </c>
    </row>
    <row r="435" spans="1:21" hidden="1" x14ac:dyDescent="0.2">
      <c r="A435">
        <v>345</v>
      </c>
      <c r="B435" t="s">
        <v>13</v>
      </c>
      <c r="C435" t="s">
        <v>1276</v>
      </c>
      <c r="D435" t="s">
        <v>1091</v>
      </c>
      <c r="E435" t="s">
        <v>1092</v>
      </c>
      <c r="F435" t="s">
        <v>1093</v>
      </c>
      <c r="G435" t="s">
        <v>47</v>
      </c>
      <c r="H435" s="1">
        <v>46013</v>
      </c>
      <c r="I435" t="s">
        <v>471</v>
      </c>
      <c r="J435" t="s">
        <v>1094</v>
      </c>
      <c r="K435">
        <v>5</v>
      </c>
      <c r="L435">
        <v>0</v>
      </c>
      <c r="M435">
        <v>0</v>
      </c>
      <c r="N435">
        <v>0</v>
      </c>
      <c r="O435">
        <v>0</v>
      </c>
      <c r="P435">
        <v>0</v>
      </c>
      <c r="Q435">
        <v>1</v>
      </c>
      <c r="T435" t="s">
        <v>326</v>
      </c>
    </row>
    <row r="436" spans="1:21" hidden="1" x14ac:dyDescent="0.2">
      <c r="A436">
        <v>345</v>
      </c>
      <c r="B436" t="s">
        <v>13</v>
      </c>
      <c r="C436" t="s">
        <v>1276</v>
      </c>
      <c r="D436" t="s">
        <v>1091</v>
      </c>
      <c r="E436" t="s">
        <v>1092</v>
      </c>
      <c r="F436" t="s">
        <v>1093</v>
      </c>
      <c r="G436" t="s">
        <v>17</v>
      </c>
      <c r="H436" s="1">
        <v>46013</v>
      </c>
      <c r="I436" t="s">
        <v>471</v>
      </c>
      <c r="J436" t="s">
        <v>1094</v>
      </c>
      <c r="K436">
        <v>5</v>
      </c>
      <c r="L436">
        <v>0</v>
      </c>
      <c r="M436">
        <v>0</v>
      </c>
      <c r="N436">
        <v>0</v>
      </c>
      <c r="O436">
        <v>0</v>
      </c>
      <c r="P436">
        <v>0</v>
      </c>
      <c r="Q436">
        <v>1</v>
      </c>
      <c r="T436" t="s">
        <v>204</v>
      </c>
      <c r="U436" t="s">
        <v>204</v>
      </c>
    </row>
    <row r="437" spans="1:21" hidden="1" x14ac:dyDescent="0.2">
      <c r="A437">
        <v>344</v>
      </c>
      <c r="B437" t="s">
        <v>22</v>
      </c>
      <c r="C437" t="s">
        <v>202</v>
      </c>
      <c r="D437" t="s">
        <v>1087</v>
      </c>
      <c r="E437" t="s">
        <v>1088</v>
      </c>
      <c r="F437" t="s">
        <v>1089</v>
      </c>
      <c r="G437" t="s">
        <v>55</v>
      </c>
      <c r="H437" s="1">
        <v>46013</v>
      </c>
      <c r="I437" t="s">
        <v>829</v>
      </c>
      <c r="J437" t="s">
        <v>1090</v>
      </c>
      <c r="K437">
        <v>5</v>
      </c>
      <c r="L437">
        <v>1</v>
      </c>
      <c r="M437">
        <v>1</v>
      </c>
      <c r="N437">
        <v>1</v>
      </c>
      <c r="O437">
        <v>1</v>
      </c>
      <c r="P437">
        <v>1</v>
      </c>
      <c r="Q437">
        <v>1</v>
      </c>
      <c r="T437" t="s">
        <v>204</v>
      </c>
      <c r="U437" t="s">
        <v>204</v>
      </c>
    </row>
    <row r="438" spans="1:21" hidden="1" x14ac:dyDescent="0.2">
      <c r="A438">
        <v>351</v>
      </c>
      <c r="B438" t="s">
        <v>125</v>
      </c>
      <c r="C438" t="s">
        <v>1273</v>
      </c>
      <c r="D438" t="s">
        <v>50</v>
      </c>
      <c r="E438" t="s">
        <v>192</v>
      </c>
      <c r="F438" t="s">
        <v>35</v>
      </c>
      <c r="G438" t="s">
        <v>17</v>
      </c>
      <c r="H438" s="1">
        <v>46014</v>
      </c>
      <c r="I438" t="s">
        <v>701</v>
      </c>
      <c r="J438" t="s">
        <v>1102</v>
      </c>
      <c r="K438">
        <v>5</v>
      </c>
      <c r="L438">
        <v>1</v>
      </c>
      <c r="M438">
        <v>1</v>
      </c>
      <c r="N438">
        <v>0</v>
      </c>
      <c r="O438">
        <v>1</v>
      </c>
      <c r="P438">
        <v>0</v>
      </c>
      <c r="Q438">
        <v>1</v>
      </c>
      <c r="T438" t="s">
        <v>367</v>
      </c>
      <c r="U438" t="s">
        <v>368</v>
      </c>
    </row>
    <row r="439" spans="1:21" hidden="1" x14ac:dyDescent="0.2">
      <c r="A439">
        <v>351</v>
      </c>
      <c r="B439" t="s">
        <v>125</v>
      </c>
      <c r="C439" t="s">
        <v>1273</v>
      </c>
      <c r="D439" t="s">
        <v>50</v>
      </c>
      <c r="E439" t="s">
        <v>15</v>
      </c>
      <c r="F439" t="s">
        <v>59</v>
      </c>
      <c r="G439" t="s">
        <v>17</v>
      </c>
      <c r="H439" s="1">
        <v>46014</v>
      </c>
      <c r="I439" t="s">
        <v>701</v>
      </c>
      <c r="J439" t="s">
        <v>1103</v>
      </c>
      <c r="K439">
        <v>5</v>
      </c>
      <c r="L439">
        <v>1</v>
      </c>
      <c r="M439">
        <v>1</v>
      </c>
      <c r="N439">
        <v>0</v>
      </c>
      <c r="O439">
        <v>1</v>
      </c>
      <c r="P439">
        <v>0</v>
      </c>
      <c r="Q439">
        <v>1</v>
      </c>
      <c r="T439" t="s">
        <v>371</v>
      </c>
    </row>
    <row r="440" spans="1:21" hidden="1" x14ac:dyDescent="0.2">
      <c r="A440">
        <v>349</v>
      </c>
      <c r="B440" t="s">
        <v>65</v>
      </c>
      <c r="C440" t="s">
        <v>1276</v>
      </c>
      <c r="D440" t="s">
        <v>1099</v>
      </c>
      <c r="E440" t="s">
        <v>1093</v>
      </c>
      <c r="F440" t="s">
        <v>1100</v>
      </c>
      <c r="G440" t="s">
        <v>17</v>
      </c>
      <c r="H440" s="1">
        <v>46014</v>
      </c>
      <c r="I440" t="s">
        <v>471</v>
      </c>
      <c r="J440" t="s">
        <v>1101</v>
      </c>
      <c r="K440">
        <v>5</v>
      </c>
      <c r="L440">
        <v>0</v>
      </c>
      <c r="M440">
        <v>0</v>
      </c>
      <c r="N440">
        <v>0</v>
      </c>
      <c r="O440">
        <v>0</v>
      </c>
      <c r="P440">
        <v>0</v>
      </c>
      <c r="Q440">
        <v>1</v>
      </c>
      <c r="T440" t="s">
        <v>373</v>
      </c>
    </row>
    <row r="441" spans="1:21" hidden="1" x14ac:dyDescent="0.2">
      <c r="A441">
        <v>348</v>
      </c>
      <c r="B441" t="s">
        <v>22</v>
      </c>
      <c r="C441" t="s">
        <v>202</v>
      </c>
      <c r="D441" t="s">
        <v>1096</v>
      </c>
      <c r="E441" t="s">
        <v>24</v>
      </c>
      <c r="F441" t="s">
        <v>25</v>
      </c>
      <c r="G441" t="s">
        <v>17</v>
      </c>
      <c r="H441" s="1">
        <v>46014</v>
      </c>
      <c r="I441" t="s">
        <v>1097</v>
      </c>
      <c r="J441" t="s">
        <v>1098</v>
      </c>
      <c r="K441">
        <v>5</v>
      </c>
      <c r="L441">
        <v>1</v>
      </c>
      <c r="M441">
        <v>1</v>
      </c>
      <c r="N441">
        <v>1</v>
      </c>
      <c r="O441">
        <v>1</v>
      </c>
      <c r="P441">
        <v>1</v>
      </c>
      <c r="Q441">
        <v>1</v>
      </c>
      <c r="T441" t="s">
        <v>375</v>
      </c>
    </row>
    <row r="442" spans="1:21" hidden="1" x14ac:dyDescent="0.2">
      <c r="A442">
        <v>356</v>
      </c>
      <c r="B442" t="s">
        <v>65</v>
      </c>
      <c r="C442" t="s">
        <v>1276</v>
      </c>
      <c r="D442" t="s">
        <v>1106</v>
      </c>
      <c r="E442" t="s">
        <v>62</v>
      </c>
      <c r="F442" t="s">
        <v>1107</v>
      </c>
      <c r="G442" t="s">
        <v>17</v>
      </c>
      <c r="H442" s="1">
        <v>46015</v>
      </c>
      <c r="I442" t="s">
        <v>471</v>
      </c>
      <c r="J442" t="s">
        <v>1108</v>
      </c>
      <c r="K442">
        <v>5</v>
      </c>
      <c r="L442">
        <v>1</v>
      </c>
      <c r="M442">
        <v>1</v>
      </c>
      <c r="N442">
        <v>1</v>
      </c>
      <c r="O442">
        <v>1</v>
      </c>
      <c r="P442">
        <v>1</v>
      </c>
      <c r="Q442">
        <v>1</v>
      </c>
      <c r="T442" t="s">
        <v>378</v>
      </c>
    </row>
    <row r="443" spans="1:21" hidden="1" x14ac:dyDescent="0.2">
      <c r="A443">
        <v>353</v>
      </c>
      <c r="B443" t="s">
        <v>125</v>
      </c>
      <c r="C443" t="s">
        <v>1273</v>
      </c>
      <c r="D443" t="s">
        <v>50</v>
      </c>
      <c r="E443" t="s">
        <v>15</v>
      </c>
      <c r="F443" t="s">
        <v>57</v>
      </c>
      <c r="G443" t="s">
        <v>17</v>
      </c>
      <c r="H443" s="1">
        <v>46015</v>
      </c>
      <c r="I443" t="s">
        <v>701</v>
      </c>
      <c r="J443" t="s">
        <v>1104</v>
      </c>
      <c r="K443">
        <v>5</v>
      </c>
      <c r="L443">
        <v>1</v>
      </c>
      <c r="M443">
        <v>1</v>
      </c>
      <c r="N443">
        <v>0</v>
      </c>
      <c r="O443">
        <v>1</v>
      </c>
      <c r="P443">
        <v>0</v>
      </c>
      <c r="Q443">
        <v>1</v>
      </c>
      <c r="T443" t="s">
        <v>283</v>
      </c>
      <c r="U443" t="s">
        <v>382</v>
      </c>
    </row>
    <row r="444" spans="1:21" hidden="1" x14ac:dyDescent="0.2">
      <c r="A444">
        <v>355</v>
      </c>
      <c r="B444" t="s">
        <v>125</v>
      </c>
      <c r="C444" t="s">
        <v>1273</v>
      </c>
      <c r="D444" t="s">
        <v>50</v>
      </c>
      <c r="E444" t="s">
        <v>192</v>
      </c>
      <c r="F444" t="s">
        <v>710</v>
      </c>
      <c r="G444" t="s">
        <v>17</v>
      </c>
      <c r="H444" s="1">
        <v>46017</v>
      </c>
      <c r="I444" t="s">
        <v>701</v>
      </c>
      <c r="J444" t="s">
        <v>1105</v>
      </c>
      <c r="K444">
        <v>5</v>
      </c>
      <c r="L444">
        <v>1</v>
      </c>
      <c r="M444">
        <v>1</v>
      </c>
      <c r="N444">
        <v>0</v>
      </c>
      <c r="O444">
        <v>1</v>
      </c>
      <c r="P444">
        <v>0</v>
      </c>
      <c r="Q444">
        <v>1</v>
      </c>
      <c r="T444" t="s">
        <v>204</v>
      </c>
      <c r="U444" t="s">
        <v>386</v>
      </c>
    </row>
    <row r="445" spans="1:21" hidden="1" x14ac:dyDescent="0.2">
      <c r="A445">
        <v>359</v>
      </c>
      <c r="B445" t="s">
        <v>106</v>
      </c>
      <c r="C445" t="s">
        <v>202</v>
      </c>
      <c r="D445" t="s">
        <v>1113</v>
      </c>
      <c r="E445" t="s">
        <v>546</v>
      </c>
      <c r="F445" t="s">
        <v>547</v>
      </c>
      <c r="G445" t="s">
        <v>220</v>
      </c>
      <c r="H445" s="1">
        <v>46020</v>
      </c>
      <c r="I445" t="s">
        <v>548</v>
      </c>
      <c r="J445" t="s">
        <v>1114</v>
      </c>
      <c r="K445">
        <v>5</v>
      </c>
      <c r="L445">
        <v>1</v>
      </c>
      <c r="M445">
        <v>1</v>
      </c>
      <c r="N445">
        <v>1</v>
      </c>
      <c r="O445">
        <v>1</v>
      </c>
      <c r="P445">
        <v>0</v>
      </c>
      <c r="Q445">
        <v>1</v>
      </c>
      <c r="R445" t="s">
        <v>202</v>
      </c>
      <c r="S445" t="s">
        <v>314</v>
      </c>
      <c r="T445" t="s">
        <v>204</v>
      </c>
      <c r="U445" t="s">
        <v>388</v>
      </c>
    </row>
    <row r="446" spans="1:21" hidden="1" x14ac:dyDescent="0.2">
      <c r="A446">
        <v>357</v>
      </c>
      <c r="B446" t="s">
        <v>125</v>
      </c>
      <c r="C446" t="s">
        <v>1273</v>
      </c>
      <c r="D446" t="s">
        <v>50</v>
      </c>
      <c r="E446" t="s">
        <v>192</v>
      </c>
      <c r="F446" t="s">
        <v>1109</v>
      </c>
      <c r="G446" t="s">
        <v>17</v>
      </c>
      <c r="H446" s="1">
        <v>46020</v>
      </c>
      <c r="I446" t="s">
        <v>701</v>
      </c>
      <c r="J446" t="s">
        <v>1110</v>
      </c>
      <c r="K446">
        <v>5</v>
      </c>
      <c r="L446">
        <v>1</v>
      </c>
      <c r="M446">
        <v>1</v>
      </c>
      <c r="N446">
        <v>0</v>
      </c>
      <c r="O446">
        <v>1</v>
      </c>
      <c r="P446">
        <v>0</v>
      </c>
      <c r="Q446">
        <v>1</v>
      </c>
      <c r="T446" t="s">
        <v>326</v>
      </c>
    </row>
    <row r="447" spans="1:21" hidden="1" x14ac:dyDescent="0.2">
      <c r="A447">
        <v>357</v>
      </c>
      <c r="B447" t="s">
        <v>125</v>
      </c>
      <c r="C447" t="s">
        <v>1273</v>
      </c>
      <c r="D447" t="s">
        <v>50</v>
      </c>
      <c r="E447" t="s">
        <v>15</v>
      </c>
      <c r="F447" t="s">
        <v>57</v>
      </c>
      <c r="G447" t="s">
        <v>17</v>
      </c>
      <c r="H447" s="1">
        <v>46020</v>
      </c>
      <c r="I447" t="s">
        <v>701</v>
      </c>
      <c r="J447" t="s">
        <v>1111</v>
      </c>
      <c r="K447">
        <v>5</v>
      </c>
      <c r="L447">
        <v>1</v>
      </c>
      <c r="M447">
        <v>1</v>
      </c>
      <c r="N447">
        <v>0</v>
      </c>
      <c r="O447">
        <v>1</v>
      </c>
      <c r="P447">
        <v>0</v>
      </c>
      <c r="Q447">
        <v>1</v>
      </c>
      <c r="T447" t="s">
        <v>204</v>
      </c>
      <c r="U447" t="s">
        <v>204</v>
      </c>
    </row>
    <row r="448" spans="1:21" hidden="1" x14ac:dyDescent="0.2">
      <c r="A448">
        <v>357</v>
      </c>
      <c r="B448" t="s">
        <v>125</v>
      </c>
      <c r="C448" t="s">
        <v>1273</v>
      </c>
      <c r="D448" t="s">
        <v>50</v>
      </c>
      <c r="E448" t="s">
        <v>192</v>
      </c>
      <c r="F448" t="s">
        <v>1109</v>
      </c>
      <c r="G448" t="s">
        <v>17</v>
      </c>
      <c r="H448" s="1">
        <v>46020</v>
      </c>
      <c r="I448" t="s">
        <v>701</v>
      </c>
      <c r="J448" t="s">
        <v>1112</v>
      </c>
      <c r="K448">
        <v>5</v>
      </c>
      <c r="L448">
        <v>1</v>
      </c>
      <c r="M448">
        <v>1</v>
      </c>
      <c r="N448">
        <v>0</v>
      </c>
      <c r="O448">
        <v>1</v>
      </c>
      <c r="P448">
        <v>0</v>
      </c>
      <c r="Q448">
        <v>1</v>
      </c>
      <c r="T448" t="s">
        <v>204</v>
      </c>
      <c r="U448" t="s">
        <v>204</v>
      </c>
    </row>
    <row r="449" spans="1:21" hidden="1" x14ac:dyDescent="0.2">
      <c r="A449">
        <v>362</v>
      </c>
      <c r="B449" t="s">
        <v>106</v>
      </c>
      <c r="C449" t="s">
        <v>202</v>
      </c>
      <c r="D449" t="s">
        <v>1123</v>
      </c>
      <c r="E449" t="s">
        <v>546</v>
      </c>
      <c r="F449" t="s">
        <v>547</v>
      </c>
      <c r="G449" t="s">
        <v>220</v>
      </c>
      <c r="H449" s="1">
        <v>46021</v>
      </c>
      <c r="I449" t="s">
        <v>548</v>
      </c>
      <c r="J449" t="s">
        <v>1124</v>
      </c>
      <c r="K449">
        <v>5</v>
      </c>
      <c r="L449">
        <v>1</v>
      </c>
      <c r="M449">
        <v>1</v>
      </c>
      <c r="N449">
        <v>1</v>
      </c>
      <c r="O449">
        <v>1</v>
      </c>
      <c r="P449">
        <v>1</v>
      </c>
      <c r="Q449">
        <v>1</v>
      </c>
      <c r="R449" t="s">
        <v>202</v>
      </c>
      <c r="S449" t="s">
        <v>314</v>
      </c>
      <c r="T449" t="s">
        <v>400</v>
      </c>
    </row>
    <row r="450" spans="1:21" hidden="1" x14ac:dyDescent="0.2">
      <c r="A450">
        <v>361</v>
      </c>
      <c r="B450" t="s">
        <v>125</v>
      </c>
      <c r="C450" t="s">
        <v>1273</v>
      </c>
      <c r="D450" t="s">
        <v>50</v>
      </c>
      <c r="E450" t="s">
        <v>192</v>
      </c>
      <c r="F450" t="s">
        <v>1109</v>
      </c>
      <c r="G450" t="s">
        <v>17</v>
      </c>
      <c r="H450" s="1">
        <v>46021</v>
      </c>
      <c r="I450" t="s">
        <v>701</v>
      </c>
      <c r="J450" t="s">
        <v>1119</v>
      </c>
      <c r="K450">
        <v>5</v>
      </c>
      <c r="L450">
        <v>1</v>
      </c>
      <c r="M450">
        <v>1</v>
      </c>
      <c r="N450">
        <v>0</v>
      </c>
      <c r="O450">
        <v>1</v>
      </c>
      <c r="P450">
        <v>0</v>
      </c>
      <c r="Q450">
        <v>1</v>
      </c>
      <c r="T450" t="s">
        <v>402</v>
      </c>
      <c r="U450" t="s">
        <v>403</v>
      </c>
    </row>
    <row r="451" spans="1:21" hidden="1" x14ac:dyDescent="0.2">
      <c r="A451">
        <v>361</v>
      </c>
      <c r="B451" t="s">
        <v>125</v>
      </c>
      <c r="C451" t="s">
        <v>1273</v>
      </c>
      <c r="D451" t="s">
        <v>50</v>
      </c>
      <c r="E451" t="s">
        <v>1120</v>
      </c>
      <c r="F451" t="s">
        <v>1121</v>
      </c>
      <c r="G451" t="s">
        <v>17</v>
      </c>
      <c r="H451" s="1">
        <v>46021</v>
      </c>
      <c r="I451" t="s">
        <v>701</v>
      </c>
      <c r="J451" t="s">
        <v>1122</v>
      </c>
      <c r="K451">
        <v>5</v>
      </c>
      <c r="L451">
        <v>1</v>
      </c>
      <c r="M451">
        <v>1</v>
      </c>
      <c r="N451">
        <v>0</v>
      </c>
      <c r="O451">
        <v>1</v>
      </c>
      <c r="P451">
        <v>0</v>
      </c>
      <c r="Q451">
        <v>1</v>
      </c>
      <c r="T451" t="s">
        <v>326</v>
      </c>
    </row>
    <row r="452" spans="1:21" hidden="1" x14ac:dyDescent="0.2">
      <c r="A452">
        <v>365</v>
      </c>
      <c r="B452" t="s">
        <v>125</v>
      </c>
      <c r="C452" t="s">
        <v>1273</v>
      </c>
      <c r="D452" t="s">
        <v>50</v>
      </c>
      <c r="E452" t="s">
        <v>15</v>
      </c>
      <c r="F452" t="s">
        <v>316</v>
      </c>
      <c r="G452" t="s">
        <v>17</v>
      </c>
      <c r="H452" s="1">
        <v>46022</v>
      </c>
      <c r="I452" t="s">
        <v>701</v>
      </c>
      <c r="J452" t="s">
        <v>1126</v>
      </c>
      <c r="K452">
        <v>5</v>
      </c>
      <c r="L452">
        <v>1</v>
      </c>
      <c r="M452">
        <v>1</v>
      </c>
      <c r="N452">
        <v>0</v>
      </c>
      <c r="O452">
        <v>1</v>
      </c>
      <c r="P452">
        <v>0</v>
      </c>
      <c r="Q452">
        <v>1</v>
      </c>
      <c r="T452" t="s">
        <v>326</v>
      </c>
    </row>
    <row r="453" spans="1:21" hidden="1" x14ac:dyDescent="0.2">
      <c r="A453">
        <v>365</v>
      </c>
      <c r="B453" t="s">
        <v>125</v>
      </c>
      <c r="C453" t="s">
        <v>1273</v>
      </c>
      <c r="D453" t="s">
        <v>50</v>
      </c>
      <c r="E453" t="s">
        <v>192</v>
      </c>
      <c r="F453" t="s">
        <v>1127</v>
      </c>
      <c r="G453" t="s">
        <v>17</v>
      </c>
      <c r="H453" s="1">
        <v>46022</v>
      </c>
      <c r="I453" t="s">
        <v>701</v>
      </c>
      <c r="J453" t="s">
        <v>1128</v>
      </c>
      <c r="K453">
        <v>5</v>
      </c>
      <c r="L453">
        <v>1</v>
      </c>
      <c r="M453">
        <v>1</v>
      </c>
      <c r="N453">
        <v>0</v>
      </c>
      <c r="O453">
        <v>1</v>
      </c>
      <c r="P453">
        <v>0</v>
      </c>
      <c r="Q453">
        <v>1</v>
      </c>
      <c r="T453" t="s">
        <v>326</v>
      </c>
    </row>
    <row r="454" spans="1:21" hidden="1" x14ac:dyDescent="0.2">
      <c r="A454">
        <v>365</v>
      </c>
      <c r="B454" t="s">
        <v>125</v>
      </c>
      <c r="C454" t="s">
        <v>1273</v>
      </c>
      <c r="D454" t="s">
        <v>50</v>
      </c>
      <c r="E454" t="s">
        <v>15</v>
      </c>
      <c r="F454" t="s">
        <v>508</v>
      </c>
      <c r="G454" t="s">
        <v>17</v>
      </c>
      <c r="H454" s="1">
        <v>46022</v>
      </c>
      <c r="I454" t="s">
        <v>701</v>
      </c>
      <c r="J454" t="s">
        <v>1129</v>
      </c>
      <c r="K454">
        <v>5</v>
      </c>
      <c r="L454">
        <v>1</v>
      </c>
      <c r="M454">
        <v>1</v>
      </c>
      <c r="N454">
        <v>0</v>
      </c>
      <c r="O454">
        <v>1</v>
      </c>
      <c r="P454">
        <v>0</v>
      </c>
      <c r="Q454">
        <v>1</v>
      </c>
      <c r="T454" t="s">
        <v>411</v>
      </c>
      <c r="U454" t="s">
        <v>412</v>
      </c>
    </row>
    <row r="455" spans="1:21" hidden="1" x14ac:dyDescent="0.2">
      <c r="A455">
        <v>368</v>
      </c>
      <c r="B455" t="s">
        <v>13</v>
      </c>
      <c r="C455" t="s">
        <v>1273</v>
      </c>
      <c r="D455" t="s">
        <v>1135</v>
      </c>
      <c r="E455" t="s">
        <v>1136</v>
      </c>
      <c r="F455" t="s">
        <v>1137</v>
      </c>
      <c r="G455" t="s">
        <v>17</v>
      </c>
      <c r="H455" s="1">
        <v>46027</v>
      </c>
      <c r="I455" t="s">
        <v>127</v>
      </c>
      <c r="J455" t="s">
        <v>1138</v>
      </c>
      <c r="K455">
        <v>5</v>
      </c>
      <c r="L455">
        <v>1</v>
      </c>
      <c r="M455">
        <v>0</v>
      </c>
      <c r="N455">
        <v>0</v>
      </c>
      <c r="O455">
        <v>1</v>
      </c>
      <c r="P455">
        <v>0</v>
      </c>
      <c r="Q455">
        <v>1</v>
      </c>
      <c r="T455" t="s">
        <v>414</v>
      </c>
      <c r="U455" t="s">
        <v>415</v>
      </c>
    </row>
    <row r="456" spans="1:21" ht="409.6" hidden="1" x14ac:dyDescent="0.2">
      <c r="A456">
        <v>368</v>
      </c>
      <c r="B456" t="s">
        <v>13</v>
      </c>
      <c r="C456" t="s">
        <v>1273</v>
      </c>
      <c r="D456" t="s">
        <v>1135</v>
      </c>
      <c r="E456" t="s">
        <v>1057</v>
      </c>
      <c r="F456" t="s">
        <v>1139</v>
      </c>
      <c r="G456" t="s">
        <v>17</v>
      </c>
      <c r="H456" s="1">
        <v>46027</v>
      </c>
      <c r="I456" t="s">
        <v>127</v>
      </c>
      <c r="J456" s="3" t="s">
        <v>1319</v>
      </c>
      <c r="K456">
        <v>5</v>
      </c>
      <c r="L456">
        <v>1</v>
      </c>
      <c r="M456">
        <v>0</v>
      </c>
      <c r="N456">
        <v>0</v>
      </c>
      <c r="O456">
        <v>1</v>
      </c>
      <c r="P456">
        <v>0</v>
      </c>
      <c r="Q456">
        <v>1</v>
      </c>
      <c r="T456" t="s">
        <v>267</v>
      </c>
    </row>
    <row r="457" spans="1:21" hidden="1" x14ac:dyDescent="0.2">
      <c r="A457">
        <v>366</v>
      </c>
      <c r="B457" t="s">
        <v>106</v>
      </c>
      <c r="C457" t="s">
        <v>202</v>
      </c>
      <c r="D457" t="s">
        <v>1130</v>
      </c>
      <c r="E457" t="s">
        <v>62</v>
      </c>
      <c r="F457" t="s">
        <v>1131</v>
      </c>
      <c r="G457" t="s">
        <v>220</v>
      </c>
      <c r="H457" s="1">
        <v>46027</v>
      </c>
      <c r="I457" t="s">
        <v>471</v>
      </c>
      <c r="J457" t="s">
        <v>1132</v>
      </c>
      <c r="K457">
        <v>5</v>
      </c>
      <c r="L457">
        <v>1</v>
      </c>
      <c r="M457">
        <v>1</v>
      </c>
      <c r="N457">
        <v>1</v>
      </c>
      <c r="O457">
        <v>1</v>
      </c>
      <c r="P457">
        <v>1</v>
      </c>
      <c r="Q457">
        <v>1</v>
      </c>
      <c r="R457" t="s">
        <v>202</v>
      </c>
      <c r="S457" t="s">
        <v>1133</v>
      </c>
      <c r="T457" t="s">
        <v>421</v>
      </c>
      <c r="U457" t="s">
        <v>422</v>
      </c>
    </row>
    <row r="458" spans="1:21" hidden="1" x14ac:dyDescent="0.2">
      <c r="A458">
        <v>382</v>
      </c>
      <c r="B458" t="s">
        <v>106</v>
      </c>
      <c r="C458" t="s">
        <v>202</v>
      </c>
      <c r="D458" t="s">
        <v>1215</v>
      </c>
      <c r="E458" t="s">
        <v>62</v>
      </c>
      <c r="F458" t="s">
        <v>1216</v>
      </c>
      <c r="G458" t="s">
        <v>220</v>
      </c>
      <c r="H458" s="1">
        <v>46028</v>
      </c>
      <c r="I458" t="s">
        <v>471</v>
      </c>
      <c r="J458" t="s">
        <v>1217</v>
      </c>
      <c r="K458">
        <v>5</v>
      </c>
      <c r="L458">
        <v>1</v>
      </c>
      <c r="M458">
        <v>1</v>
      </c>
      <c r="N458">
        <v>1</v>
      </c>
      <c r="O458">
        <v>1</v>
      </c>
      <c r="P458">
        <v>1</v>
      </c>
      <c r="Q458">
        <v>1</v>
      </c>
      <c r="R458" t="s">
        <v>202</v>
      </c>
      <c r="S458" t="s">
        <v>1153</v>
      </c>
      <c r="T458" t="s">
        <v>314</v>
      </c>
      <c r="U458" t="s">
        <v>426</v>
      </c>
    </row>
    <row r="459" spans="1:21" hidden="1" x14ac:dyDescent="0.2">
      <c r="A459">
        <v>372</v>
      </c>
      <c r="B459" t="s">
        <v>13</v>
      </c>
      <c r="C459" t="s">
        <v>1273</v>
      </c>
      <c r="D459" t="s">
        <v>50</v>
      </c>
      <c r="E459" t="s">
        <v>15</v>
      </c>
      <c r="F459" t="s">
        <v>129</v>
      </c>
      <c r="G459" t="s">
        <v>47</v>
      </c>
      <c r="H459" s="1">
        <v>46028</v>
      </c>
      <c r="I459" t="s">
        <v>127</v>
      </c>
      <c r="J459" t="s">
        <v>1156</v>
      </c>
      <c r="K459">
        <v>5</v>
      </c>
      <c r="L459">
        <v>1</v>
      </c>
      <c r="M459">
        <v>0</v>
      </c>
      <c r="N459">
        <v>0</v>
      </c>
      <c r="O459">
        <v>1</v>
      </c>
      <c r="P459">
        <v>0</v>
      </c>
      <c r="Q459">
        <v>1</v>
      </c>
      <c r="T459" t="s">
        <v>314</v>
      </c>
      <c r="U459" t="s">
        <v>429</v>
      </c>
    </row>
    <row r="460" spans="1:21" hidden="1" x14ac:dyDescent="0.2">
      <c r="A460">
        <v>372</v>
      </c>
      <c r="B460" t="s">
        <v>13</v>
      </c>
      <c r="C460" t="s">
        <v>1273</v>
      </c>
      <c r="D460" t="s">
        <v>50</v>
      </c>
      <c r="E460" t="s">
        <v>15</v>
      </c>
      <c r="F460" t="s">
        <v>167</v>
      </c>
      <c r="G460" t="s">
        <v>47</v>
      </c>
      <c r="H460" s="1">
        <v>46028</v>
      </c>
      <c r="I460" t="s">
        <v>127</v>
      </c>
      <c r="J460" t="s">
        <v>1157</v>
      </c>
      <c r="K460">
        <v>5</v>
      </c>
      <c r="L460">
        <v>1</v>
      </c>
      <c r="M460">
        <v>0</v>
      </c>
      <c r="N460">
        <v>0</v>
      </c>
      <c r="O460">
        <v>1</v>
      </c>
      <c r="P460">
        <v>0</v>
      </c>
      <c r="Q460">
        <v>1</v>
      </c>
      <c r="T460" t="s">
        <v>314</v>
      </c>
      <c r="U460" t="s">
        <v>432</v>
      </c>
    </row>
    <row r="461" spans="1:21" hidden="1" x14ac:dyDescent="0.2">
      <c r="A461">
        <v>372</v>
      </c>
      <c r="B461" t="s">
        <v>13</v>
      </c>
      <c r="C461" t="s">
        <v>1273</v>
      </c>
      <c r="D461" t="s">
        <v>50</v>
      </c>
      <c r="E461" t="s">
        <v>1057</v>
      </c>
      <c r="F461" t="s">
        <v>1158</v>
      </c>
      <c r="G461" t="s">
        <v>17</v>
      </c>
      <c r="H461" s="1">
        <v>46028</v>
      </c>
      <c r="I461" t="s">
        <v>127</v>
      </c>
      <c r="J461" t="s">
        <v>1159</v>
      </c>
      <c r="K461">
        <v>5</v>
      </c>
      <c r="L461">
        <v>1</v>
      </c>
      <c r="M461">
        <v>0</v>
      </c>
      <c r="N461">
        <v>0</v>
      </c>
      <c r="O461">
        <v>1</v>
      </c>
      <c r="P461">
        <v>0</v>
      </c>
      <c r="Q461">
        <v>1</v>
      </c>
      <c r="T461" t="s">
        <v>440</v>
      </c>
    </row>
    <row r="462" spans="1:21" hidden="1" x14ac:dyDescent="0.2">
      <c r="A462">
        <v>372</v>
      </c>
      <c r="B462" t="s">
        <v>13</v>
      </c>
      <c r="C462" t="s">
        <v>1273</v>
      </c>
      <c r="D462" t="s">
        <v>50</v>
      </c>
      <c r="E462" t="s">
        <v>15</v>
      </c>
      <c r="F462" t="s">
        <v>556</v>
      </c>
      <c r="G462" t="s">
        <v>210</v>
      </c>
      <c r="H462" s="1">
        <v>46028</v>
      </c>
      <c r="I462" t="s">
        <v>127</v>
      </c>
      <c r="J462" t="s">
        <v>1160</v>
      </c>
      <c r="K462">
        <v>5</v>
      </c>
      <c r="L462">
        <v>1</v>
      </c>
      <c r="M462">
        <v>0</v>
      </c>
      <c r="N462">
        <v>0</v>
      </c>
      <c r="O462">
        <v>1</v>
      </c>
      <c r="P462">
        <v>0</v>
      </c>
      <c r="Q462">
        <v>1</v>
      </c>
      <c r="R462" t="s">
        <v>214</v>
      </c>
      <c r="S462" t="s">
        <v>1161</v>
      </c>
      <c r="T462" t="s">
        <v>204</v>
      </c>
      <c r="U462" t="s">
        <v>204</v>
      </c>
    </row>
    <row r="463" spans="1:21" hidden="1" x14ac:dyDescent="0.2">
      <c r="A463">
        <v>372</v>
      </c>
      <c r="B463" t="s">
        <v>13</v>
      </c>
      <c r="C463" t="s">
        <v>1273</v>
      </c>
      <c r="D463" t="s">
        <v>50</v>
      </c>
      <c r="E463" t="s">
        <v>15</v>
      </c>
      <c r="F463" t="s">
        <v>556</v>
      </c>
      <c r="G463" t="s">
        <v>210</v>
      </c>
      <c r="H463" s="1">
        <v>46028</v>
      </c>
      <c r="I463" t="s">
        <v>127</v>
      </c>
      <c r="J463" t="s">
        <v>1160</v>
      </c>
      <c r="K463">
        <v>5</v>
      </c>
      <c r="L463">
        <v>1</v>
      </c>
      <c r="M463">
        <v>0</v>
      </c>
      <c r="N463">
        <v>0</v>
      </c>
      <c r="O463">
        <v>1</v>
      </c>
      <c r="P463">
        <v>0</v>
      </c>
      <c r="Q463">
        <v>1</v>
      </c>
      <c r="R463" t="s">
        <v>202</v>
      </c>
      <c r="S463" t="s">
        <v>1163</v>
      </c>
      <c r="T463" t="s">
        <v>326</v>
      </c>
    </row>
    <row r="464" spans="1:21" hidden="1" x14ac:dyDescent="0.2">
      <c r="A464">
        <v>370</v>
      </c>
      <c r="B464" t="s">
        <v>106</v>
      </c>
      <c r="C464" t="s">
        <v>202</v>
      </c>
      <c r="D464" t="s">
        <v>1142</v>
      </c>
      <c r="E464" t="s">
        <v>62</v>
      </c>
      <c r="F464" t="s">
        <v>1131</v>
      </c>
      <c r="G464" t="s">
        <v>220</v>
      </c>
      <c r="H464" s="1">
        <v>46028</v>
      </c>
      <c r="I464" t="s">
        <v>1143</v>
      </c>
      <c r="J464" t="s">
        <v>1144</v>
      </c>
      <c r="K464">
        <v>5</v>
      </c>
      <c r="L464">
        <v>1</v>
      </c>
      <c r="M464">
        <v>1</v>
      </c>
      <c r="N464">
        <v>1</v>
      </c>
      <c r="O464">
        <v>1</v>
      </c>
      <c r="P464">
        <v>1</v>
      </c>
      <c r="Q464">
        <v>1</v>
      </c>
      <c r="R464" t="s">
        <v>202</v>
      </c>
      <c r="S464" t="s">
        <v>1145</v>
      </c>
      <c r="T464" t="s">
        <v>520</v>
      </c>
      <c r="U464" t="s">
        <v>521</v>
      </c>
    </row>
    <row r="465" spans="1:21" hidden="1" x14ac:dyDescent="0.2">
      <c r="A465">
        <v>370</v>
      </c>
      <c r="B465" t="s">
        <v>106</v>
      </c>
      <c r="C465" t="s">
        <v>202</v>
      </c>
      <c r="D465" t="s">
        <v>1142</v>
      </c>
      <c r="E465" t="s">
        <v>62</v>
      </c>
      <c r="F465" t="s">
        <v>1148</v>
      </c>
      <c r="G465" t="s">
        <v>220</v>
      </c>
      <c r="H465" s="1">
        <v>46028</v>
      </c>
      <c r="I465" t="s">
        <v>1143</v>
      </c>
      <c r="J465" t="s">
        <v>1149</v>
      </c>
      <c r="K465">
        <v>5</v>
      </c>
      <c r="L465">
        <v>1</v>
      </c>
      <c r="M465">
        <v>1</v>
      </c>
      <c r="N465">
        <v>1</v>
      </c>
      <c r="O465">
        <v>1</v>
      </c>
      <c r="P465">
        <v>1</v>
      </c>
      <c r="Q465">
        <v>1</v>
      </c>
      <c r="R465" t="s">
        <v>202</v>
      </c>
      <c r="S465" t="s">
        <v>1145</v>
      </c>
      <c r="T465" t="s">
        <v>528</v>
      </c>
      <c r="U465" t="s">
        <v>529</v>
      </c>
    </row>
    <row r="466" spans="1:21" hidden="1" x14ac:dyDescent="0.2">
      <c r="A466">
        <v>370</v>
      </c>
      <c r="B466" t="s">
        <v>106</v>
      </c>
      <c r="C466" t="s">
        <v>202</v>
      </c>
      <c r="D466" t="s">
        <v>1142</v>
      </c>
      <c r="E466" t="s">
        <v>62</v>
      </c>
      <c r="F466" t="s">
        <v>1107</v>
      </c>
      <c r="G466" t="s">
        <v>220</v>
      </c>
      <c r="H466" s="1">
        <v>46028</v>
      </c>
      <c r="I466" t="s">
        <v>1143</v>
      </c>
      <c r="J466" t="s">
        <v>1152</v>
      </c>
      <c r="K466">
        <v>5</v>
      </c>
      <c r="L466">
        <v>1</v>
      </c>
      <c r="M466">
        <v>1</v>
      </c>
      <c r="N466">
        <v>1</v>
      </c>
      <c r="O466">
        <v>1</v>
      </c>
      <c r="P466">
        <v>1</v>
      </c>
      <c r="Q466">
        <v>1</v>
      </c>
      <c r="R466" t="s">
        <v>202</v>
      </c>
      <c r="S466" t="s">
        <v>1153</v>
      </c>
      <c r="T466" t="s">
        <v>535</v>
      </c>
    </row>
    <row r="467" spans="1:21" hidden="1" x14ac:dyDescent="0.2">
      <c r="A467">
        <v>369</v>
      </c>
      <c r="B467" t="s">
        <v>65</v>
      </c>
      <c r="C467" t="s">
        <v>1276</v>
      </c>
      <c r="D467" t="s">
        <v>1140</v>
      </c>
      <c r="E467" t="s">
        <v>62</v>
      </c>
      <c r="F467" t="s">
        <v>1107</v>
      </c>
      <c r="G467" t="s">
        <v>17</v>
      </c>
      <c r="H467" s="1">
        <v>46028</v>
      </c>
      <c r="I467" t="s">
        <v>471</v>
      </c>
      <c r="J467" t="s">
        <v>1141</v>
      </c>
      <c r="K467">
        <v>5</v>
      </c>
      <c r="L467">
        <v>1</v>
      </c>
      <c r="M467">
        <v>1</v>
      </c>
      <c r="N467">
        <v>1</v>
      </c>
      <c r="O467">
        <v>1</v>
      </c>
      <c r="P467">
        <v>1</v>
      </c>
      <c r="Q467">
        <v>1</v>
      </c>
      <c r="T467" t="s">
        <v>314</v>
      </c>
      <c r="U467" t="s">
        <v>551</v>
      </c>
    </row>
    <row r="468" spans="1:21" hidden="1" x14ac:dyDescent="0.2">
      <c r="A468">
        <v>392</v>
      </c>
      <c r="B468" t="s">
        <v>1277</v>
      </c>
      <c r="C468" t="s">
        <v>202</v>
      </c>
      <c r="D468" t="s">
        <v>1278</v>
      </c>
      <c r="E468" t="s">
        <v>1279</v>
      </c>
      <c r="F468" t="s">
        <v>1280</v>
      </c>
      <c r="G468" t="s">
        <v>47</v>
      </c>
      <c r="H468" s="1">
        <v>46029</v>
      </c>
      <c r="I468" t="s">
        <v>1281</v>
      </c>
      <c r="J468" t="s">
        <v>1282</v>
      </c>
      <c r="K468">
        <v>5</v>
      </c>
      <c r="L468">
        <v>1</v>
      </c>
      <c r="M468">
        <v>1</v>
      </c>
      <c r="N468">
        <v>1</v>
      </c>
      <c r="O468">
        <v>1</v>
      </c>
      <c r="P468">
        <v>1</v>
      </c>
      <c r="Q468">
        <v>1</v>
      </c>
      <c r="T468" t="s">
        <v>314</v>
      </c>
      <c r="U468" t="s">
        <v>568</v>
      </c>
    </row>
    <row r="469" spans="1:21" hidden="1" x14ac:dyDescent="0.2">
      <c r="A469">
        <v>391</v>
      </c>
      <c r="B469" t="s">
        <v>1277</v>
      </c>
      <c r="C469" t="s">
        <v>202</v>
      </c>
      <c r="D469" t="s">
        <v>1283</v>
      </c>
      <c r="E469" t="s">
        <v>1284</v>
      </c>
      <c r="F469" t="s">
        <v>1285</v>
      </c>
      <c r="G469" t="s">
        <v>47</v>
      </c>
      <c r="H469" s="1">
        <v>46029</v>
      </c>
      <c r="I469" t="s">
        <v>1281</v>
      </c>
      <c r="J469" t="s">
        <v>1286</v>
      </c>
      <c r="K469">
        <v>5</v>
      </c>
      <c r="L469">
        <v>1</v>
      </c>
      <c r="M469">
        <v>1</v>
      </c>
      <c r="N469">
        <v>1</v>
      </c>
      <c r="O469">
        <v>1</v>
      </c>
      <c r="P469">
        <v>1</v>
      </c>
      <c r="Q469">
        <v>1</v>
      </c>
      <c r="T469" t="s">
        <v>326</v>
      </c>
      <c r="U469" t="s">
        <v>265</v>
      </c>
    </row>
    <row r="470" spans="1:21" hidden="1" x14ac:dyDescent="0.2">
      <c r="A470">
        <v>391</v>
      </c>
      <c r="B470" t="s">
        <v>1277</v>
      </c>
      <c r="C470" t="s">
        <v>202</v>
      </c>
      <c r="D470" t="s">
        <v>1283</v>
      </c>
      <c r="E470" t="s">
        <v>1284</v>
      </c>
      <c r="F470" t="s">
        <v>1287</v>
      </c>
      <c r="G470" t="s">
        <v>47</v>
      </c>
      <c r="H470" s="1">
        <v>46029</v>
      </c>
      <c r="I470" t="s">
        <v>1281</v>
      </c>
      <c r="J470" t="s">
        <v>1288</v>
      </c>
      <c r="K470">
        <v>5</v>
      </c>
      <c r="L470">
        <v>1</v>
      </c>
      <c r="M470">
        <v>1</v>
      </c>
      <c r="N470">
        <v>1</v>
      </c>
      <c r="O470">
        <v>1</v>
      </c>
      <c r="P470">
        <v>1</v>
      </c>
      <c r="Q470">
        <v>1</v>
      </c>
      <c r="T470" t="s">
        <v>326</v>
      </c>
      <c r="U470" t="s">
        <v>265</v>
      </c>
    </row>
    <row r="471" spans="1:21" hidden="1" x14ac:dyDescent="0.2">
      <c r="A471">
        <v>391</v>
      </c>
      <c r="B471" t="s">
        <v>1277</v>
      </c>
      <c r="C471" t="s">
        <v>202</v>
      </c>
      <c r="D471" t="s">
        <v>1283</v>
      </c>
      <c r="E471" t="s">
        <v>1284</v>
      </c>
      <c r="F471" t="s">
        <v>1289</v>
      </c>
      <c r="G471" t="s">
        <v>47</v>
      </c>
      <c r="H471" s="1">
        <v>46029</v>
      </c>
      <c r="I471" t="s">
        <v>1281</v>
      </c>
      <c r="J471" t="s">
        <v>1290</v>
      </c>
      <c r="K471">
        <v>5</v>
      </c>
      <c r="L471">
        <v>1</v>
      </c>
      <c r="M471">
        <v>1</v>
      </c>
      <c r="N471">
        <v>1</v>
      </c>
      <c r="O471">
        <v>1</v>
      </c>
      <c r="P471">
        <v>1</v>
      </c>
      <c r="Q471">
        <v>1</v>
      </c>
      <c r="T471" t="s">
        <v>326</v>
      </c>
      <c r="U471" t="s">
        <v>326</v>
      </c>
    </row>
    <row r="472" spans="1:21" hidden="1" x14ac:dyDescent="0.2">
      <c r="A472">
        <v>391</v>
      </c>
      <c r="B472" t="s">
        <v>1277</v>
      </c>
      <c r="C472" t="s">
        <v>202</v>
      </c>
      <c r="D472" t="s">
        <v>1283</v>
      </c>
      <c r="E472" t="s">
        <v>1284</v>
      </c>
      <c r="F472" t="s">
        <v>1291</v>
      </c>
      <c r="G472" t="s">
        <v>47</v>
      </c>
      <c r="H472" s="1">
        <v>46029</v>
      </c>
      <c r="I472" t="s">
        <v>1281</v>
      </c>
      <c r="J472" t="s">
        <v>1292</v>
      </c>
      <c r="K472">
        <v>5</v>
      </c>
      <c r="L472">
        <v>1</v>
      </c>
      <c r="M472">
        <v>1</v>
      </c>
      <c r="N472">
        <v>1</v>
      </c>
      <c r="O472">
        <v>1</v>
      </c>
      <c r="P472">
        <v>1</v>
      </c>
      <c r="Q472">
        <v>1</v>
      </c>
      <c r="T472" t="s">
        <v>591</v>
      </c>
      <c r="U472" t="s">
        <v>592</v>
      </c>
    </row>
    <row r="473" spans="1:21" hidden="1" x14ac:dyDescent="0.2">
      <c r="A473">
        <v>374</v>
      </c>
      <c r="B473" t="s">
        <v>65</v>
      </c>
      <c r="C473" t="s">
        <v>1276</v>
      </c>
      <c r="D473" t="s">
        <v>1180</v>
      </c>
      <c r="E473" t="s">
        <v>66</v>
      </c>
      <c r="F473" t="s">
        <v>140</v>
      </c>
      <c r="G473" t="s">
        <v>17</v>
      </c>
      <c r="H473" s="1">
        <v>46029</v>
      </c>
      <c r="I473" t="s">
        <v>68</v>
      </c>
      <c r="J473" t="s">
        <v>1181</v>
      </c>
      <c r="K473">
        <v>5</v>
      </c>
      <c r="L473">
        <v>0</v>
      </c>
      <c r="M473">
        <v>1</v>
      </c>
      <c r="N473">
        <v>1</v>
      </c>
      <c r="O473">
        <v>1</v>
      </c>
      <c r="P473">
        <v>1</v>
      </c>
      <c r="Q473">
        <v>1</v>
      </c>
      <c r="T473" t="s">
        <v>403</v>
      </c>
      <c r="U473" t="s">
        <v>403</v>
      </c>
    </row>
    <row r="474" spans="1:21" hidden="1" x14ac:dyDescent="0.2">
      <c r="A474">
        <v>373</v>
      </c>
      <c r="B474" t="s">
        <v>13</v>
      </c>
      <c r="C474" t="s">
        <v>1273</v>
      </c>
      <c r="D474" t="s">
        <v>50</v>
      </c>
      <c r="E474" t="s">
        <v>15</v>
      </c>
      <c r="F474" t="s">
        <v>316</v>
      </c>
      <c r="G474" t="s">
        <v>17</v>
      </c>
      <c r="H474" s="1">
        <v>46029</v>
      </c>
      <c r="I474" t="s">
        <v>127</v>
      </c>
      <c r="J474" t="s">
        <v>1166</v>
      </c>
      <c r="K474">
        <v>5</v>
      </c>
      <c r="L474">
        <v>1</v>
      </c>
      <c r="M474">
        <v>0</v>
      </c>
      <c r="N474">
        <v>0</v>
      </c>
      <c r="O474">
        <v>1</v>
      </c>
      <c r="P474">
        <v>0</v>
      </c>
      <c r="Q474">
        <v>1</v>
      </c>
      <c r="T474" t="s">
        <v>326</v>
      </c>
      <c r="U474" t="s">
        <v>603</v>
      </c>
    </row>
    <row r="475" spans="1:21" hidden="1" x14ac:dyDescent="0.2">
      <c r="A475">
        <v>373</v>
      </c>
      <c r="B475" t="s">
        <v>13</v>
      </c>
      <c r="C475" t="s">
        <v>1273</v>
      </c>
      <c r="D475" t="s">
        <v>50</v>
      </c>
      <c r="E475" t="s">
        <v>15</v>
      </c>
      <c r="F475" t="s">
        <v>558</v>
      </c>
      <c r="G475" t="s">
        <v>210</v>
      </c>
      <c r="H475" s="1">
        <v>46029</v>
      </c>
      <c r="I475" t="s">
        <v>127</v>
      </c>
      <c r="J475" t="s">
        <v>1160</v>
      </c>
      <c r="K475">
        <v>5</v>
      </c>
      <c r="L475">
        <v>1</v>
      </c>
      <c r="M475">
        <v>0</v>
      </c>
      <c r="N475">
        <v>0</v>
      </c>
      <c r="O475">
        <v>1</v>
      </c>
      <c r="P475">
        <v>0</v>
      </c>
      <c r="Q475">
        <v>1</v>
      </c>
      <c r="R475" t="s">
        <v>214</v>
      </c>
      <c r="S475" t="s">
        <v>1167</v>
      </c>
      <c r="T475" t="s">
        <v>284</v>
      </c>
      <c r="U475" t="s">
        <v>607</v>
      </c>
    </row>
    <row r="476" spans="1:21" hidden="1" x14ac:dyDescent="0.2">
      <c r="A476">
        <v>373</v>
      </c>
      <c r="B476" t="s">
        <v>13</v>
      </c>
      <c r="C476" t="s">
        <v>1273</v>
      </c>
      <c r="D476" t="s">
        <v>50</v>
      </c>
      <c r="E476" t="s">
        <v>15</v>
      </c>
      <c r="F476" t="s">
        <v>558</v>
      </c>
      <c r="G476" t="s">
        <v>210</v>
      </c>
      <c r="H476" s="1">
        <v>46029</v>
      </c>
      <c r="I476" t="s">
        <v>127</v>
      </c>
      <c r="J476" t="s">
        <v>1160</v>
      </c>
      <c r="K476">
        <v>5</v>
      </c>
      <c r="L476">
        <v>1</v>
      </c>
      <c r="M476">
        <v>0</v>
      </c>
      <c r="N476">
        <v>0</v>
      </c>
      <c r="O476">
        <v>1</v>
      </c>
      <c r="P476">
        <v>0</v>
      </c>
      <c r="Q476">
        <v>1</v>
      </c>
      <c r="R476" t="s">
        <v>202</v>
      </c>
      <c r="S476" t="s">
        <v>1168</v>
      </c>
    </row>
    <row r="477" spans="1:21" hidden="1" x14ac:dyDescent="0.2">
      <c r="A477">
        <v>377</v>
      </c>
      <c r="B477" t="s">
        <v>13</v>
      </c>
      <c r="C477" t="s">
        <v>1273</v>
      </c>
      <c r="D477" t="s">
        <v>50</v>
      </c>
      <c r="E477" t="s">
        <v>1057</v>
      </c>
      <c r="F477" t="s">
        <v>1188</v>
      </c>
      <c r="G477" t="s">
        <v>17</v>
      </c>
      <c r="H477" s="1">
        <v>46030</v>
      </c>
      <c r="I477" t="s">
        <v>127</v>
      </c>
      <c r="J477" t="s">
        <v>1189</v>
      </c>
      <c r="K477">
        <v>5</v>
      </c>
      <c r="L477">
        <v>1</v>
      </c>
      <c r="M477">
        <v>1</v>
      </c>
      <c r="N477">
        <v>0</v>
      </c>
      <c r="O477">
        <v>1</v>
      </c>
      <c r="P477">
        <v>0</v>
      </c>
      <c r="Q477">
        <v>1</v>
      </c>
    </row>
    <row r="478" spans="1:21" hidden="1" x14ac:dyDescent="0.2">
      <c r="A478">
        <v>377</v>
      </c>
      <c r="B478" t="s">
        <v>13</v>
      </c>
      <c r="C478" t="s">
        <v>1273</v>
      </c>
      <c r="D478" t="s">
        <v>50</v>
      </c>
      <c r="E478" t="s">
        <v>987</v>
      </c>
      <c r="F478" t="s">
        <v>1190</v>
      </c>
      <c r="G478" t="s">
        <v>17</v>
      </c>
      <c r="H478" s="1">
        <v>46030</v>
      </c>
      <c r="I478" t="s">
        <v>127</v>
      </c>
      <c r="J478" t="s">
        <v>1191</v>
      </c>
      <c r="K478">
        <v>5</v>
      </c>
      <c r="L478">
        <v>1</v>
      </c>
      <c r="M478">
        <v>1</v>
      </c>
      <c r="N478">
        <v>0</v>
      </c>
      <c r="O478">
        <v>1</v>
      </c>
      <c r="P478">
        <v>0</v>
      </c>
      <c r="Q478">
        <v>1</v>
      </c>
    </row>
    <row r="479" spans="1:21" hidden="1" x14ac:dyDescent="0.2">
      <c r="A479">
        <v>377</v>
      </c>
      <c r="B479" t="s">
        <v>13</v>
      </c>
      <c r="C479" t="s">
        <v>1273</v>
      </c>
      <c r="D479" t="s">
        <v>50</v>
      </c>
      <c r="E479" t="s">
        <v>15</v>
      </c>
      <c r="F479" t="s">
        <v>575</v>
      </c>
      <c r="G479" t="s">
        <v>210</v>
      </c>
      <c r="H479" s="1">
        <v>46030</v>
      </c>
      <c r="I479" t="s">
        <v>127</v>
      </c>
      <c r="J479" t="s">
        <v>1177</v>
      </c>
      <c r="K479">
        <v>5</v>
      </c>
      <c r="L479">
        <v>1</v>
      </c>
      <c r="M479">
        <v>1</v>
      </c>
      <c r="N479">
        <v>0</v>
      </c>
      <c r="O479">
        <v>1</v>
      </c>
      <c r="P479">
        <v>0</v>
      </c>
      <c r="Q479">
        <v>1</v>
      </c>
      <c r="R479" t="s">
        <v>214</v>
      </c>
      <c r="S479" t="s">
        <v>1178</v>
      </c>
    </row>
    <row r="480" spans="1:21" hidden="1" x14ac:dyDescent="0.2">
      <c r="A480">
        <v>377</v>
      </c>
      <c r="B480" t="s">
        <v>13</v>
      </c>
      <c r="C480" t="s">
        <v>1273</v>
      </c>
      <c r="D480" t="s">
        <v>50</v>
      </c>
      <c r="E480" t="s">
        <v>15</v>
      </c>
      <c r="F480" t="s">
        <v>575</v>
      </c>
      <c r="G480" t="s">
        <v>210</v>
      </c>
      <c r="H480" s="1">
        <v>46030</v>
      </c>
      <c r="I480" t="s">
        <v>127</v>
      </c>
      <c r="J480" t="s">
        <v>1177</v>
      </c>
      <c r="K480">
        <v>5</v>
      </c>
      <c r="L480">
        <v>1</v>
      </c>
      <c r="M480">
        <v>1</v>
      </c>
      <c r="N480">
        <v>0</v>
      </c>
      <c r="O480">
        <v>1</v>
      </c>
      <c r="P480">
        <v>0</v>
      </c>
      <c r="Q480">
        <v>1</v>
      </c>
      <c r="R480" t="s">
        <v>202</v>
      </c>
      <c r="S480" t="s">
        <v>1163</v>
      </c>
    </row>
    <row r="481" spans="1:21" x14ac:dyDescent="0.2">
      <c r="A481">
        <v>376</v>
      </c>
      <c r="B481" t="s">
        <v>65</v>
      </c>
      <c r="C481" t="s">
        <v>1276</v>
      </c>
      <c r="D481" t="s">
        <v>1182</v>
      </c>
      <c r="E481" t="s">
        <v>62</v>
      </c>
      <c r="F481" t="s">
        <v>889</v>
      </c>
      <c r="G481" t="s">
        <v>17</v>
      </c>
      <c r="H481" s="1">
        <v>46030</v>
      </c>
      <c r="I481" t="s">
        <v>471</v>
      </c>
      <c r="J481" t="s">
        <v>1183</v>
      </c>
      <c r="K481">
        <v>5</v>
      </c>
      <c r="L481">
        <v>1</v>
      </c>
      <c r="M481">
        <v>1</v>
      </c>
      <c r="N481">
        <v>1</v>
      </c>
      <c r="O481">
        <v>1</v>
      </c>
      <c r="P481">
        <v>1</v>
      </c>
      <c r="Q481">
        <v>1</v>
      </c>
    </row>
    <row r="482" spans="1:21" hidden="1" x14ac:dyDescent="0.2">
      <c r="A482">
        <v>376</v>
      </c>
      <c r="B482" t="s">
        <v>65</v>
      </c>
      <c r="C482" t="s">
        <v>1276</v>
      </c>
      <c r="D482" t="s">
        <v>1182</v>
      </c>
      <c r="E482" t="s">
        <v>62</v>
      </c>
      <c r="F482" t="s">
        <v>1184</v>
      </c>
      <c r="G482" t="s">
        <v>17</v>
      </c>
      <c r="H482" s="1">
        <v>46030</v>
      </c>
      <c r="I482" t="s">
        <v>471</v>
      </c>
      <c r="J482" t="s">
        <v>1183</v>
      </c>
      <c r="K482">
        <v>5</v>
      </c>
      <c r="L482">
        <v>1</v>
      </c>
      <c r="M482">
        <v>1</v>
      </c>
      <c r="N482">
        <v>1</v>
      </c>
      <c r="O482">
        <v>1</v>
      </c>
      <c r="P482">
        <v>1</v>
      </c>
      <c r="Q482">
        <v>1</v>
      </c>
    </row>
    <row r="483" spans="1:21" hidden="1" x14ac:dyDescent="0.2">
      <c r="A483">
        <v>376</v>
      </c>
      <c r="B483" t="s">
        <v>65</v>
      </c>
      <c r="C483" t="s">
        <v>1276</v>
      </c>
      <c r="D483" t="s">
        <v>1182</v>
      </c>
      <c r="E483" t="s">
        <v>62</v>
      </c>
      <c r="F483" t="s">
        <v>63</v>
      </c>
      <c r="G483" t="s">
        <v>17</v>
      </c>
      <c r="H483" s="1">
        <v>46030</v>
      </c>
      <c r="I483" t="s">
        <v>471</v>
      </c>
      <c r="J483" t="s">
        <v>1185</v>
      </c>
      <c r="K483">
        <v>5</v>
      </c>
      <c r="L483">
        <v>1</v>
      </c>
      <c r="M483">
        <v>1</v>
      </c>
      <c r="N483">
        <v>1</v>
      </c>
      <c r="O483">
        <v>1</v>
      </c>
      <c r="P483">
        <v>1</v>
      </c>
      <c r="Q483">
        <v>1</v>
      </c>
    </row>
    <row r="484" spans="1:21" hidden="1" x14ac:dyDescent="0.2">
      <c r="A484">
        <v>376</v>
      </c>
      <c r="B484" t="s">
        <v>65</v>
      </c>
      <c r="C484" t="s">
        <v>1276</v>
      </c>
      <c r="D484" t="s">
        <v>1182</v>
      </c>
      <c r="E484" t="s">
        <v>62</v>
      </c>
      <c r="F484" t="s">
        <v>1186</v>
      </c>
      <c r="G484" t="s">
        <v>17</v>
      </c>
      <c r="H484" s="1">
        <v>46030</v>
      </c>
      <c r="I484" t="s">
        <v>471</v>
      </c>
      <c r="J484" t="s">
        <v>1187</v>
      </c>
      <c r="K484">
        <v>5</v>
      </c>
      <c r="L484">
        <v>1</v>
      </c>
      <c r="M484">
        <v>1</v>
      </c>
      <c r="N484">
        <v>1</v>
      </c>
      <c r="O484">
        <v>1</v>
      </c>
      <c r="P484">
        <v>1</v>
      </c>
      <c r="Q484">
        <v>1</v>
      </c>
    </row>
    <row r="485" spans="1:21" hidden="1" x14ac:dyDescent="0.2">
      <c r="A485">
        <v>375</v>
      </c>
      <c r="B485" t="s">
        <v>22</v>
      </c>
      <c r="C485" t="s">
        <v>202</v>
      </c>
      <c r="D485" t="s">
        <v>1170</v>
      </c>
      <c r="E485" t="s">
        <v>1171</v>
      </c>
      <c r="F485" t="s">
        <v>870</v>
      </c>
      <c r="G485" t="s">
        <v>55</v>
      </c>
      <c r="H485" s="1">
        <v>46030</v>
      </c>
      <c r="I485" t="s">
        <v>1172</v>
      </c>
      <c r="J485" t="s">
        <v>1173</v>
      </c>
      <c r="K485">
        <v>5</v>
      </c>
      <c r="L485">
        <v>1</v>
      </c>
      <c r="M485">
        <v>1</v>
      </c>
      <c r="N485">
        <v>1</v>
      </c>
      <c r="O485">
        <v>1</v>
      </c>
      <c r="P485">
        <v>1</v>
      </c>
      <c r="Q485">
        <v>1</v>
      </c>
    </row>
    <row r="486" spans="1:21" hidden="1" x14ac:dyDescent="0.2">
      <c r="A486">
        <v>375</v>
      </c>
      <c r="B486" t="s">
        <v>22</v>
      </c>
      <c r="C486" t="s">
        <v>202</v>
      </c>
      <c r="D486" t="s">
        <v>1170</v>
      </c>
      <c r="E486" t="s">
        <v>1171</v>
      </c>
      <c r="F486" t="s">
        <v>870</v>
      </c>
      <c r="G486" t="s">
        <v>220</v>
      </c>
      <c r="H486" s="1">
        <v>46030</v>
      </c>
      <c r="I486" t="s">
        <v>1172</v>
      </c>
      <c r="J486" t="s">
        <v>1173</v>
      </c>
      <c r="K486">
        <v>5</v>
      </c>
      <c r="L486">
        <v>1</v>
      </c>
      <c r="M486">
        <v>1</v>
      </c>
      <c r="N486">
        <v>1</v>
      </c>
      <c r="O486">
        <v>1</v>
      </c>
      <c r="P486">
        <v>1</v>
      </c>
      <c r="Q486">
        <v>1</v>
      </c>
      <c r="R486" t="s">
        <v>202</v>
      </c>
      <c r="S486" t="s">
        <v>1174</v>
      </c>
    </row>
    <row r="487" spans="1:21" hidden="1" x14ac:dyDescent="0.2">
      <c r="A487">
        <v>383</v>
      </c>
      <c r="B487" t="s">
        <v>13</v>
      </c>
      <c r="C487" t="s">
        <v>1273</v>
      </c>
      <c r="D487" t="s">
        <v>943</v>
      </c>
      <c r="E487" t="s">
        <v>15</v>
      </c>
      <c r="F487" t="s">
        <v>327</v>
      </c>
      <c r="G487" t="s">
        <v>210</v>
      </c>
      <c r="H487" s="1">
        <v>46034</v>
      </c>
      <c r="I487" t="s">
        <v>127</v>
      </c>
      <c r="J487" t="s">
        <v>1219</v>
      </c>
      <c r="K487">
        <v>5</v>
      </c>
      <c r="L487">
        <v>1</v>
      </c>
      <c r="M487">
        <v>0</v>
      </c>
      <c r="N487">
        <v>0</v>
      </c>
      <c r="O487">
        <v>1</v>
      </c>
      <c r="P487">
        <v>0</v>
      </c>
      <c r="Q487">
        <v>1</v>
      </c>
      <c r="R487" t="s">
        <v>214</v>
      </c>
      <c r="S487" t="s">
        <v>1220</v>
      </c>
      <c r="T487" t="s">
        <v>204</v>
      </c>
      <c r="U487" t="s">
        <v>205</v>
      </c>
    </row>
    <row r="488" spans="1:21" hidden="1" x14ac:dyDescent="0.2">
      <c r="A488">
        <v>383</v>
      </c>
      <c r="B488" t="s">
        <v>13</v>
      </c>
      <c r="C488" t="s">
        <v>1273</v>
      </c>
      <c r="D488" t="s">
        <v>943</v>
      </c>
      <c r="E488" t="s">
        <v>15</v>
      </c>
      <c r="F488" t="s">
        <v>327</v>
      </c>
      <c r="G488" t="s">
        <v>210</v>
      </c>
      <c r="H488" s="1">
        <v>46034</v>
      </c>
      <c r="I488" t="s">
        <v>127</v>
      </c>
      <c r="J488" t="s">
        <v>1219</v>
      </c>
      <c r="K488">
        <v>5</v>
      </c>
      <c r="L488">
        <v>1</v>
      </c>
      <c r="M488">
        <v>0</v>
      </c>
      <c r="N488">
        <v>0</v>
      </c>
      <c r="O488">
        <v>1</v>
      </c>
      <c r="P488">
        <v>0</v>
      </c>
      <c r="Q488">
        <v>1</v>
      </c>
      <c r="R488" t="s">
        <v>202</v>
      </c>
      <c r="S488" t="s">
        <v>1163</v>
      </c>
      <c r="T488" t="s">
        <v>204</v>
      </c>
      <c r="U488" t="s">
        <v>208</v>
      </c>
    </row>
    <row r="489" spans="1:21" hidden="1" x14ac:dyDescent="0.2">
      <c r="A489">
        <v>381</v>
      </c>
      <c r="B489" t="s">
        <v>825</v>
      </c>
      <c r="C489" t="s">
        <v>1276</v>
      </c>
      <c r="D489" t="s">
        <v>1203</v>
      </c>
      <c r="E489" t="s">
        <v>66</v>
      </c>
      <c r="F489" t="s">
        <v>71</v>
      </c>
      <c r="G489" t="s">
        <v>220</v>
      </c>
      <c r="H489" s="1">
        <v>46034</v>
      </c>
      <c r="I489" t="s">
        <v>68</v>
      </c>
      <c r="J489" t="s">
        <v>1204</v>
      </c>
      <c r="K489">
        <v>5</v>
      </c>
      <c r="L489">
        <v>0</v>
      </c>
      <c r="M489">
        <v>0</v>
      </c>
      <c r="N489">
        <v>0</v>
      </c>
      <c r="O489">
        <v>0</v>
      </c>
      <c r="P489">
        <v>0</v>
      </c>
      <c r="Q489">
        <v>1</v>
      </c>
      <c r="R489" t="s">
        <v>282</v>
      </c>
      <c r="S489" t="s">
        <v>1205</v>
      </c>
      <c r="T489" t="s">
        <v>204</v>
      </c>
    </row>
    <row r="490" spans="1:21" hidden="1" x14ac:dyDescent="0.2">
      <c r="A490">
        <v>381</v>
      </c>
      <c r="B490" t="s">
        <v>825</v>
      </c>
      <c r="C490" t="s">
        <v>1276</v>
      </c>
      <c r="D490" t="s">
        <v>1203</v>
      </c>
      <c r="E490" t="s">
        <v>66</v>
      </c>
      <c r="F490" t="s">
        <v>71</v>
      </c>
      <c r="G490" t="s">
        <v>220</v>
      </c>
      <c r="H490" s="1">
        <v>46034</v>
      </c>
      <c r="I490" t="s">
        <v>68</v>
      </c>
      <c r="J490" t="s">
        <v>1204</v>
      </c>
      <c r="K490">
        <v>5</v>
      </c>
      <c r="L490">
        <v>0</v>
      </c>
      <c r="M490">
        <v>0</v>
      </c>
      <c r="N490">
        <v>0</v>
      </c>
      <c r="O490">
        <v>0</v>
      </c>
      <c r="P490">
        <v>0</v>
      </c>
      <c r="Q490">
        <v>1</v>
      </c>
      <c r="R490" t="s">
        <v>1207</v>
      </c>
      <c r="S490" t="s">
        <v>1208</v>
      </c>
      <c r="T490" t="s">
        <v>204</v>
      </c>
      <c r="U490" t="s">
        <v>215</v>
      </c>
    </row>
    <row r="491" spans="1:21" hidden="1" x14ac:dyDescent="0.2">
      <c r="A491">
        <v>381</v>
      </c>
      <c r="B491" t="s">
        <v>825</v>
      </c>
      <c r="C491" t="s">
        <v>1276</v>
      </c>
      <c r="D491" t="s">
        <v>1203</v>
      </c>
      <c r="E491" t="s">
        <v>66</v>
      </c>
      <c r="F491" t="s">
        <v>71</v>
      </c>
      <c r="G491" t="s">
        <v>220</v>
      </c>
      <c r="H491" s="1">
        <v>46034</v>
      </c>
      <c r="I491" t="s">
        <v>68</v>
      </c>
      <c r="J491" t="s">
        <v>1204</v>
      </c>
      <c r="K491">
        <v>5</v>
      </c>
      <c r="L491">
        <v>0</v>
      </c>
      <c r="M491">
        <v>0</v>
      </c>
      <c r="N491">
        <v>0</v>
      </c>
      <c r="O491">
        <v>0</v>
      </c>
      <c r="P491">
        <v>0</v>
      </c>
      <c r="Q491">
        <v>1</v>
      </c>
      <c r="R491" t="s">
        <v>1210</v>
      </c>
      <c r="S491" t="s">
        <v>1211</v>
      </c>
      <c r="T491" t="s">
        <v>204</v>
      </c>
    </row>
    <row r="492" spans="1:21" hidden="1" x14ac:dyDescent="0.2">
      <c r="A492">
        <v>381</v>
      </c>
      <c r="B492" t="s">
        <v>825</v>
      </c>
      <c r="C492" t="s">
        <v>1276</v>
      </c>
      <c r="D492" t="s">
        <v>1203</v>
      </c>
      <c r="E492" t="s">
        <v>66</v>
      </c>
      <c r="F492" t="s">
        <v>71</v>
      </c>
      <c r="G492" t="s">
        <v>220</v>
      </c>
      <c r="H492" s="1">
        <v>46034</v>
      </c>
      <c r="I492" t="s">
        <v>68</v>
      </c>
      <c r="J492" t="s">
        <v>1204</v>
      </c>
      <c r="K492">
        <v>5</v>
      </c>
      <c r="L492">
        <v>0</v>
      </c>
      <c r="M492">
        <v>0</v>
      </c>
      <c r="N492">
        <v>0</v>
      </c>
      <c r="O492">
        <v>0</v>
      </c>
      <c r="P492">
        <v>0</v>
      </c>
      <c r="Q492">
        <v>1</v>
      </c>
      <c r="R492" t="s">
        <v>606</v>
      </c>
      <c r="S492" t="s">
        <v>1213</v>
      </c>
      <c r="T492" t="s">
        <v>204</v>
      </c>
    </row>
    <row r="493" spans="1:21" hidden="1" x14ac:dyDescent="0.2">
      <c r="A493">
        <v>379</v>
      </c>
      <c r="B493" t="s">
        <v>106</v>
      </c>
      <c r="C493" t="s">
        <v>202</v>
      </c>
      <c r="D493" t="s">
        <v>1192</v>
      </c>
      <c r="E493" t="s">
        <v>62</v>
      </c>
      <c r="F493" t="s">
        <v>1193</v>
      </c>
      <c r="G493" t="s">
        <v>200</v>
      </c>
      <c r="H493" s="1">
        <v>46034</v>
      </c>
      <c r="I493" t="s">
        <v>471</v>
      </c>
      <c r="J493" t="s">
        <v>1194</v>
      </c>
      <c r="K493">
        <v>5</v>
      </c>
      <c r="L493">
        <v>1</v>
      </c>
      <c r="M493">
        <v>1</v>
      </c>
      <c r="N493">
        <v>1</v>
      </c>
      <c r="O493">
        <v>1</v>
      </c>
      <c r="P493">
        <v>1</v>
      </c>
      <c r="Q493">
        <v>1</v>
      </c>
      <c r="R493" t="s">
        <v>651</v>
      </c>
      <c r="S493" t="s">
        <v>1195</v>
      </c>
      <c r="T493" t="s">
        <v>224</v>
      </c>
      <c r="U493" t="s">
        <v>225</v>
      </c>
    </row>
    <row r="494" spans="1:21" hidden="1" x14ac:dyDescent="0.2">
      <c r="A494">
        <v>379</v>
      </c>
      <c r="B494" t="s">
        <v>106</v>
      </c>
      <c r="C494" t="s">
        <v>202</v>
      </c>
      <c r="D494" t="s">
        <v>1192</v>
      </c>
      <c r="E494" t="s">
        <v>62</v>
      </c>
      <c r="F494" t="s">
        <v>581</v>
      </c>
      <c r="G494" t="s">
        <v>220</v>
      </c>
      <c r="H494" s="1">
        <v>46034</v>
      </c>
      <c r="I494" t="s">
        <v>471</v>
      </c>
      <c r="J494" t="s">
        <v>1198</v>
      </c>
      <c r="K494">
        <v>5</v>
      </c>
      <c r="L494">
        <v>1</v>
      </c>
      <c r="M494">
        <v>1</v>
      </c>
      <c r="N494">
        <v>1</v>
      </c>
      <c r="O494">
        <v>1</v>
      </c>
      <c r="P494">
        <v>1</v>
      </c>
      <c r="Q494">
        <v>1</v>
      </c>
      <c r="R494" t="s">
        <v>202</v>
      </c>
      <c r="S494" t="s">
        <v>1153</v>
      </c>
      <c r="T494" t="s">
        <v>232</v>
      </c>
      <c r="U494" t="s">
        <v>233</v>
      </c>
    </row>
    <row r="495" spans="1:21" hidden="1" x14ac:dyDescent="0.2">
      <c r="A495">
        <v>379</v>
      </c>
      <c r="B495" t="s">
        <v>106</v>
      </c>
      <c r="C495" t="s">
        <v>202</v>
      </c>
      <c r="D495" t="s">
        <v>1192</v>
      </c>
      <c r="E495" t="s">
        <v>62</v>
      </c>
      <c r="F495" t="s">
        <v>1193</v>
      </c>
      <c r="G495" t="s">
        <v>220</v>
      </c>
      <c r="H495" s="1">
        <v>46034</v>
      </c>
      <c r="I495" t="s">
        <v>471</v>
      </c>
      <c r="J495" t="s">
        <v>1198</v>
      </c>
      <c r="K495">
        <v>5</v>
      </c>
      <c r="L495">
        <v>1</v>
      </c>
      <c r="M495">
        <v>1</v>
      </c>
      <c r="N495">
        <v>1</v>
      </c>
      <c r="O495">
        <v>1</v>
      </c>
      <c r="P495">
        <v>1</v>
      </c>
      <c r="Q495">
        <v>1</v>
      </c>
      <c r="R495" t="s">
        <v>202</v>
      </c>
      <c r="S495" t="s">
        <v>1153</v>
      </c>
      <c r="T495" t="s">
        <v>237</v>
      </c>
      <c r="U495" t="s">
        <v>238</v>
      </c>
    </row>
    <row r="496" spans="1:21" hidden="1" x14ac:dyDescent="0.2">
      <c r="A496">
        <v>387</v>
      </c>
      <c r="B496" t="s">
        <v>78</v>
      </c>
      <c r="C496" t="s">
        <v>1276</v>
      </c>
      <c r="D496" t="s">
        <v>1293</v>
      </c>
      <c r="E496" t="s">
        <v>66</v>
      </c>
      <c r="F496" t="s">
        <v>70</v>
      </c>
      <c r="G496" t="s">
        <v>17</v>
      </c>
      <c r="H496" s="1">
        <v>46035</v>
      </c>
      <c r="I496" t="s">
        <v>471</v>
      </c>
      <c r="J496" t="s">
        <v>1294</v>
      </c>
      <c r="K496">
        <v>5</v>
      </c>
      <c r="L496">
        <v>1</v>
      </c>
      <c r="M496">
        <v>1</v>
      </c>
      <c r="N496">
        <v>1</v>
      </c>
      <c r="O496">
        <v>1</v>
      </c>
      <c r="P496">
        <v>1</v>
      </c>
      <c r="Q496">
        <v>1</v>
      </c>
      <c r="T496" t="s">
        <v>240</v>
      </c>
      <c r="U496" t="s">
        <v>241</v>
      </c>
    </row>
    <row r="497" spans="1:21" hidden="1" x14ac:dyDescent="0.2">
      <c r="A497">
        <v>387</v>
      </c>
      <c r="B497" t="s">
        <v>78</v>
      </c>
      <c r="C497" t="s">
        <v>1276</v>
      </c>
      <c r="D497" t="s">
        <v>1293</v>
      </c>
      <c r="E497" t="s">
        <v>66</v>
      </c>
      <c r="F497" t="s">
        <v>71</v>
      </c>
      <c r="G497" t="s">
        <v>220</v>
      </c>
      <c r="H497" s="1">
        <v>46035</v>
      </c>
      <c r="I497" t="s">
        <v>471</v>
      </c>
      <c r="J497" t="s">
        <v>1295</v>
      </c>
      <c r="K497">
        <v>5</v>
      </c>
      <c r="L497">
        <v>1</v>
      </c>
      <c r="M497">
        <v>1</v>
      </c>
      <c r="N497">
        <v>1</v>
      </c>
      <c r="O497">
        <v>1</v>
      </c>
      <c r="P497">
        <v>1</v>
      </c>
      <c r="Q497">
        <v>1</v>
      </c>
      <c r="R497" t="s">
        <v>202</v>
      </c>
      <c r="S497" t="s">
        <v>1296</v>
      </c>
      <c r="T497" t="s">
        <v>245</v>
      </c>
      <c r="U497" t="s">
        <v>246</v>
      </c>
    </row>
    <row r="498" spans="1:21" hidden="1" x14ac:dyDescent="0.2">
      <c r="A498">
        <v>385</v>
      </c>
      <c r="B498" t="s">
        <v>43</v>
      </c>
      <c r="C498" t="s">
        <v>1272</v>
      </c>
      <c r="D498" t="s">
        <v>1222</v>
      </c>
      <c r="E498" t="s">
        <v>62</v>
      </c>
      <c r="F498" t="s">
        <v>816</v>
      </c>
      <c r="G498" t="s">
        <v>47</v>
      </c>
      <c r="H498" s="1">
        <v>46035</v>
      </c>
      <c r="I498" t="s">
        <v>149</v>
      </c>
      <c r="J498" t="s">
        <v>1223</v>
      </c>
      <c r="K498">
        <v>5</v>
      </c>
      <c r="L498">
        <v>0</v>
      </c>
      <c r="M498">
        <v>0</v>
      </c>
      <c r="N498">
        <v>0</v>
      </c>
      <c r="O498">
        <v>1</v>
      </c>
      <c r="P498">
        <v>0</v>
      </c>
      <c r="Q498">
        <v>1</v>
      </c>
      <c r="T498" t="s">
        <v>248</v>
      </c>
    </row>
    <row r="499" spans="1:21" hidden="1" x14ac:dyDescent="0.2">
      <c r="A499">
        <v>385</v>
      </c>
      <c r="B499" t="s">
        <v>43</v>
      </c>
      <c r="C499" t="s">
        <v>1272</v>
      </c>
      <c r="D499" t="s">
        <v>1222</v>
      </c>
      <c r="E499" t="s">
        <v>1224</v>
      </c>
      <c r="F499" t="s">
        <v>1225</v>
      </c>
      <c r="G499" t="s">
        <v>47</v>
      </c>
      <c r="H499" s="1">
        <v>46035</v>
      </c>
      <c r="I499" t="s">
        <v>149</v>
      </c>
      <c r="J499" t="s">
        <v>1226</v>
      </c>
      <c r="K499">
        <v>5</v>
      </c>
      <c r="L499">
        <v>0</v>
      </c>
      <c r="M499">
        <v>0</v>
      </c>
      <c r="N499">
        <v>0</v>
      </c>
      <c r="O499">
        <v>1</v>
      </c>
      <c r="P499">
        <v>0</v>
      </c>
      <c r="Q499">
        <v>1</v>
      </c>
      <c r="T499" t="s">
        <v>232</v>
      </c>
      <c r="U499" t="s">
        <v>253</v>
      </c>
    </row>
    <row r="500" spans="1:21" hidden="1" x14ac:dyDescent="0.2">
      <c r="A500">
        <v>385</v>
      </c>
      <c r="B500" t="s">
        <v>43</v>
      </c>
      <c r="C500" t="s">
        <v>1272</v>
      </c>
      <c r="D500" t="s">
        <v>1222</v>
      </c>
      <c r="E500" t="s">
        <v>1224</v>
      </c>
      <c r="F500" t="s">
        <v>1227</v>
      </c>
      <c r="G500" t="s">
        <v>47</v>
      </c>
      <c r="H500" s="1">
        <v>46035</v>
      </c>
      <c r="I500" t="s">
        <v>149</v>
      </c>
      <c r="J500" t="s">
        <v>1297</v>
      </c>
      <c r="K500">
        <v>5</v>
      </c>
      <c r="L500">
        <v>0</v>
      </c>
      <c r="M500">
        <v>0</v>
      </c>
      <c r="N500">
        <v>0</v>
      </c>
      <c r="O500">
        <v>1</v>
      </c>
      <c r="P500">
        <v>0</v>
      </c>
      <c r="Q500">
        <v>1</v>
      </c>
      <c r="T500" t="s">
        <v>255</v>
      </c>
      <c r="U500" t="s">
        <v>256</v>
      </c>
    </row>
    <row r="501" spans="1:21" hidden="1" x14ac:dyDescent="0.2">
      <c r="A501">
        <v>385</v>
      </c>
      <c r="B501" t="s">
        <v>43</v>
      </c>
      <c r="C501" t="s">
        <v>1272</v>
      </c>
      <c r="D501" t="s">
        <v>1222</v>
      </c>
      <c r="E501" t="s">
        <v>62</v>
      </c>
      <c r="F501" t="s">
        <v>745</v>
      </c>
      <c r="G501" t="s">
        <v>220</v>
      </c>
      <c r="H501" s="1">
        <v>46035</v>
      </c>
      <c r="I501" t="s">
        <v>149</v>
      </c>
      <c r="J501" t="s">
        <v>1228</v>
      </c>
      <c r="K501">
        <v>5</v>
      </c>
      <c r="L501">
        <v>0</v>
      </c>
      <c r="M501">
        <v>0</v>
      </c>
      <c r="N501">
        <v>0</v>
      </c>
      <c r="O501">
        <v>1</v>
      </c>
      <c r="P501">
        <v>0</v>
      </c>
      <c r="Q501">
        <v>1</v>
      </c>
      <c r="R501" t="s">
        <v>222</v>
      </c>
      <c r="S501" t="s">
        <v>916</v>
      </c>
      <c r="T501" t="s">
        <v>261</v>
      </c>
      <c r="U501" t="s">
        <v>262</v>
      </c>
    </row>
    <row r="502" spans="1:21" hidden="1" x14ac:dyDescent="0.2">
      <c r="A502">
        <v>385</v>
      </c>
      <c r="B502" t="s">
        <v>43</v>
      </c>
      <c r="C502" t="s">
        <v>1272</v>
      </c>
      <c r="D502" t="s">
        <v>1222</v>
      </c>
      <c r="E502" t="s">
        <v>62</v>
      </c>
      <c r="F502" t="s">
        <v>745</v>
      </c>
      <c r="G502" t="s">
        <v>220</v>
      </c>
      <c r="H502" s="1">
        <v>46035</v>
      </c>
      <c r="I502" t="s">
        <v>149</v>
      </c>
      <c r="J502" t="s">
        <v>1228</v>
      </c>
      <c r="K502">
        <v>5</v>
      </c>
      <c r="L502">
        <v>0</v>
      </c>
      <c r="M502">
        <v>0</v>
      </c>
      <c r="N502">
        <v>0</v>
      </c>
      <c r="O502">
        <v>1</v>
      </c>
      <c r="P502">
        <v>0</v>
      </c>
      <c r="Q502">
        <v>1</v>
      </c>
      <c r="R502" t="s">
        <v>222</v>
      </c>
      <c r="S502" t="s">
        <v>252</v>
      </c>
      <c r="T502" t="s">
        <v>264</v>
      </c>
      <c r="U502" t="s">
        <v>265</v>
      </c>
    </row>
    <row r="503" spans="1:21" hidden="1" x14ac:dyDescent="0.2">
      <c r="A503">
        <v>385</v>
      </c>
      <c r="B503" t="s">
        <v>43</v>
      </c>
      <c r="C503" t="s">
        <v>1272</v>
      </c>
      <c r="D503" t="s">
        <v>1222</v>
      </c>
      <c r="E503" t="s">
        <v>62</v>
      </c>
      <c r="F503" t="s">
        <v>745</v>
      </c>
      <c r="G503" t="s">
        <v>220</v>
      </c>
      <c r="H503" s="1">
        <v>46035</v>
      </c>
      <c r="I503" t="s">
        <v>149</v>
      </c>
      <c r="J503" t="s">
        <v>1228</v>
      </c>
      <c r="K503">
        <v>5</v>
      </c>
      <c r="L503">
        <v>0</v>
      </c>
      <c r="M503">
        <v>0</v>
      </c>
      <c r="N503">
        <v>0</v>
      </c>
      <c r="O503">
        <v>1</v>
      </c>
      <c r="P503">
        <v>0</v>
      </c>
      <c r="Q503">
        <v>1</v>
      </c>
      <c r="R503" t="s">
        <v>202</v>
      </c>
      <c r="S503" t="s">
        <v>1232</v>
      </c>
      <c r="T503" t="s">
        <v>267</v>
      </c>
      <c r="U503" t="s">
        <v>268</v>
      </c>
    </row>
    <row r="504" spans="1:21" hidden="1" x14ac:dyDescent="0.2">
      <c r="A504">
        <v>385</v>
      </c>
      <c r="B504" t="s">
        <v>43</v>
      </c>
      <c r="C504" t="s">
        <v>1272</v>
      </c>
      <c r="D504" t="s">
        <v>1222</v>
      </c>
      <c r="E504" t="s">
        <v>62</v>
      </c>
      <c r="F504" t="s">
        <v>745</v>
      </c>
      <c r="G504" t="s">
        <v>220</v>
      </c>
      <c r="H504" s="1">
        <v>46035</v>
      </c>
      <c r="I504" t="s">
        <v>149</v>
      </c>
      <c r="J504" t="s">
        <v>1228</v>
      </c>
      <c r="K504">
        <v>5</v>
      </c>
      <c r="L504">
        <v>0</v>
      </c>
      <c r="M504">
        <v>0</v>
      </c>
      <c r="N504">
        <v>0</v>
      </c>
      <c r="O504">
        <v>1</v>
      </c>
      <c r="P504">
        <v>0</v>
      </c>
      <c r="Q504">
        <v>1</v>
      </c>
      <c r="R504" t="s">
        <v>606</v>
      </c>
      <c r="S504" t="s">
        <v>1235</v>
      </c>
      <c r="T504" t="s">
        <v>272</v>
      </c>
      <c r="U504" t="s">
        <v>273</v>
      </c>
    </row>
    <row r="505" spans="1:21" hidden="1" x14ac:dyDescent="0.2">
      <c r="A505">
        <v>390</v>
      </c>
      <c r="B505" t="s">
        <v>125</v>
      </c>
      <c r="C505" t="s">
        <v>1276</v>
      </c>
      <c r="D505" t="s">
        <v>1298</v>
      </c>
      <c r="E505" t="s">
        <v>66</v>
      </c>
      <c r="F505" t="s">
        <v>71</v>
      </c>
      <c r="G505" t="s">
        <v>17</v>
      </c>
      <c r="H505" s="1">
        <v>46036</v>
      </c>
      <c r="I505" t="s">
        <v>471</v>
      </c>
      <c r="J505" t="s">
        <v>1299</v>
      </c>
      <c r="K505">
        <v>5</v>
      </c>
      <c r="L505">
        <v>1</v>
      </c>
      <c r="M505">
        <v>1</v>
      </c>
      <c r="N505">
        <v>0</v>
      </c>
      <c r="O505">
        <v>0</v>
      </c>
      <c r="P505">
        <v>0</v>
      </c>
      <c r="Q505">
        <v>1</v>
      </c>
      <c r="T505" t="s">
        <v>275</v>
      </c>
      <c r="U505" t="s">
        <v>265</v>
      </c>
    </row>
    <row r="506" spans="1:21" hidden="1" x14ac:dyDescent="0.2">
      <c r="A506">
        <v>389</v>
      </c>
      <c r="B506" t="s">
        <v>13</v>
      </c>
      <c r="C506" t="s">
        <v>1273</v>
      </c>
      <c r="D506" t="s">
        <v>1300</v>
      </c>
      <c r="E506" t="s">
        <v>15</v>
      </c>
      <c r="F506" t="s">
        <v>508</v>
      </c>
      <c r="G506" t="s">
        <v>17</v>
      </c>
      <c r="H506" s="1">
        <v>46036</v>
      </c>
      <c r="I506" t="s">
        <v>127</v>
      </c>
      <c r="J506" t="s">
        <v>1301</v>
      </c>
      <c r="K506">
        <v>5</v>
      </c>
      <c r="L506">
        <v>1</v>
      </c>
      <c r="M506">
        <v>1</v>
      </c>
      <c r="N506">
        <v>0</v>
      </c>
      <c r="O506">
        <v>1</v>
      </c>
      <c r="P506">
        <v>0</v>
      </c>
      <c r="Q506">
        <v>1</v>
      </c>
      <c r="T506" t="s">
        <v>204</v>
      </c>
      <c r="U506" t="s">
        <v>276</v>
      </c>
    </row>
    <row r="507" spans="1:21" hidden="1" x14ac:dyDescent="0.2">
      <c r="A507">
        <v>389</v>
      </c>
      <c r="B507" t="s">
        <v>13</v>
      </c>
      <c r="C507" t="s">
        <v>1273</v>
      </c>
      <c r="D507" t="s">
        <v>1300</v>
      </c>
      <c r="E507" t="s">
        <v>987</v>
      </c>
      <c r="F507" t="s">
        <v>1190</v>
      </c>
      <c r="G507" t="s">
        <v>17</v>
      </c>
      <c r="H507" s="1">
        <v>46036</v>
      </c>
      <c r="I507" t="s">
        <v>127</v>
      </c>
      <c r="J507" t="s">
        <v>1302</v>
      </c>
      <c r="K507">
        <v>5</v>
      </c>
      <c r="L507">
        <v>1</v>
      </c>
      <c r="M507">
        <v>1</v>
      </c>
      <c r="N507">
        <v>0</v>
      </c>
      <c r="O507">
        <v>1</v>
      </c>
      <c r="P507">
        <v>0</v>
      </c>
      <c r="Q507">
        <v>1</v>
      </c>
      <c r="T507" t="s">
        <v>284</v>
      </c>
    </row>
    <row r="508" spans="1:21" hidden="1" x14ac:dyDescent="0.2">
      <c r="A508">
        <v>386</v>
      </c>
      <c r="B508" t="s">
        <v>106</v>
      </c>
      <c r="C508" t="s">
        <v>202</v>
      </c>
      <c r="D508" t="s">
        <v>1303</v>
      </c>
      <c r="E508" t="s">
        <v>62</v>
      </c>
      <c r="F508" t="s">
        <v>1008</v>
      </c>
      <c r="G508" t="s">
        <v>220</v>
      </c>
      <c r="H508" s="1">
        <v>46036</v>
      </c>
      <c r="I508" t="s">
        <v>471</v>
      </c>
      <c r="J508" t="s">
        <v>1304</v>
      </c>
      <c r="K508">
        <v>5</v>
      </c>
      <c r="L508">
        <v>1</v>
      </c>
      <c r="M508">
        <v>1</v>
      </c>
      <c r="N508">
        <v>1</v>
      </c>
      <c r="O508">
        <v>1</v>
      </c>
      <c r="P508">
        <v>1</v>
      </c>
      <c r="Q508">
        <v>1</v>
      </c>
      <c r="R508" t="s">
        <v>202</v>
      </c>
      <c r="S508" t="s">
        <v>1153</v>
      </c>
      <c r="T508" t="s">
        <v>284</v>
      </c>
      <c r="U508" t="s">
        <v>288</v>
      </c>
    </row>
    <row r="509" spans="1:21" hidden="1" x14ac:dyDescent="0.2">
      <c r="A509">
        <v>386</v>
      </c>
      <c r="B509" t="s">
        <v>106</v>
      </c>
      <c r="C509" t="s">
        <v>202</v>
      </c>
      <c r="D509" t="s">
        <v>1303</v>
      </c>
      <c r="E509" t="s">
        <v>62</v>
      </c>
      <c r="F509" t="s">
        <v>533</v>
      </c>
      <c r="G509" t="s">
        <v>220</v>
      </c>
      <c r="H509" s="1">
        <v>46036</v>
      </c>
      <c r="I509" t="s">
        <v>471</v>
      </c>
      <c r="J509" t="s">
        <v>1305</v>
      </c>
      <c r="K509">
        <v>5</v>
      </c>
      <c r="L509">
        <v>1</v>
      </c>
      <c r="M509">
        <v>1</v>
      </c>
      <c r="N509">
        <v>1</v>
      </c>
      <c r="O509">
        <v>1</v>
      </c>
      <c r="P509">
        <v>1</v>
      </c>
      <c r="Q509">
        <v>1</v>
      </c>
      <c r="R509" t="s">
        <v>202</v>
      </c>
      <c r="S509" t="s">
        <v>1153</v>
      </c>
      <c r="T509" t="s">
        <v>295</v>
      </c>
      <c r="U509" t="s">
        <v>296</v>
      </c>
    </row>
    <row r="510" spans="1:21" hidden="1" x14ac:dyDescent="0.2">
      <c r="A510">
        <v>386</v>
      </c>
      <c r="B510" t="s">
        <v>106</v>
      </c>
      <c r="C510" t="s">
        <v>202</v>
      </c>
      <c r="D510" t="s">
        <v>1303</v>
      </c>
      <c r="E510" t="s">
        <v>62</v>
      </c>
      <c r="F510" t="s">
        <v>477</v>
      </c>
      <c r="G510" t="s">
        <v>220</v>
      </c>
      <c r="H510" s="1">
        <v>46036</v>
      </c>
      <c r="I510" t="s">
        <v>471</v>
      </c>
      <c r="J510" t="s">
        <v>1306</v>
      </c>
      <c r="K510">
        <v>5</v>
      </c>
      <c r="L510">
        <v>1</v>
      </c>
      <c r="M510">
        <v>1</v>
      </c>
      <c r="N510">
        <v>1</v>
      </c>
      <c r="O510">
        <v>1</v>
      </c>
      <c r="P510">
        <v>1</v>
      </c>
      <c r="Q510">
        <v>1</v>
      </c>
      <c r="R510" t="s">
        <v>202</v>
      </c>
      <c r="S510" t="s">
        <v>1153</v>
      </c>
      <c r="T510" t="s">
        <v>298</v>
      </c>
      <c r="U510" t="s">
        <v>299</v>
      </c>
    </row>
    <row r="511" spans="1:21" hidden="1" x14ac:dyDescent="0.2">
      <c r="A511">
        <v>396</v>
      </c>
      <c r="B511" t="s">
        <v>43</v>
      </c>
      <c r="C511" t="s">
        <v>1272</v>
      </c>
      <c r="D511" t="s">
        <v>1307</v>
      </c>
      <c r="E511" t="s">
        <v>62</v>
      </c>
      <c r="F511" t="s">
        <v>745</v>
      </c>
      <c r="G511" t="s">
        <v>220</v>
      </c>
      <c r="H511" s="1">
        <v>46037</v>
      </c>
      <c r="I511" t="s">
        <v>1308</v>
      </c>
      <c r="J511" t="s">
        <v>1309</v>
      </c>
      <c r="K511">
        <v>5</v>
      </c>
      <c r="L511">
        <v>0</v>
      </c>
      <c r="M511">
        <v>0</v>
      </c>
      <c r="N511">
        <v>0</v>
      </c>
      <c r="O511">
        <v>1</v>
      </c>
      <c r="P511">
        <v>0</v>
      </c>
      <c r="Q511">
        <v>1</v>
      </c>
      <c r="R511" t="s">
        <v>202</v>
      </c>
      <c r="S511" t="s">
        <v>502</v>
      </c>
      <c r="T511" t="s">
        <v>204</v>
      </c>
      <c r="U511" t="s">
        <v>302</v>
      </c>
    </row>
    <row r="512" spans="1:21" hidden="1" x14ac:dyDescent="0.2">
      <c r="A512">
        <v>396</v>
      </c>
      <c r="B512" t="s">
        <v>43</v>
      </c>
      <c r="C512" t="s">
        <v>1272</v>
      </c>
      <c r="D512" t="s">
        <v>1307</v>
      </c>
      <c r="E512" t="s">
        <v>62</v>
      </c>
      <c r="F512" t="s">
        <v>1310</v>
      </c>
      <c r="G512" t="s">
        <v>220</v>
      </c>
      <c r="H512" s="1">
        <v>46037</v>
      </c>
      <c r="I512" t="s">
        <v>1308</v>
      </c>
      <c r="J512" t="s">
        <v>1311</v>
      </c>
      <c r="K512">
        <v>5</v>
      </c>
      <c r="L512">
        <v>0</v>
      </c>
      <c r="M512">
        <v>0</v>
      </c>
      <c r="N512">
        <v>0</v>
      </c>
      <c r="O512">
        <v>1</v>
      </c>
      <c r="P512">
        <v>0</v>
      </c>
      <c r="Q512">
        <v>1</v>
      </c>
      <c r="R512" t="s">
        <v>214</v>
      </c>
      <c r="S512" t="s">
        <v>921</v>
      </c>
      <c r="T512" t="s">
        <v>204</v>
      </c>
      <c r="U512" t="s">
        <v>303</v>
      </c>
    </row>
    <row r="513" spans="1:21" hidden="1" x14ac:dyDescent="0.2">
      <c r="A513">
        <v>396</v>
      </c>
      <c r="B513" t="s">
        <v>43</v>
      </c>
      <c r="C513" t="s">
        <v>1272</v>
      </c>
      <c r="D513" t="s">
        <v>1307</v>
      </c>
      <c r="E513" t="s">
        <v>62</v>
      </c>
      <c r="F513" t="s">
        <v>1310</v>
      </c>
      <c r="G513" t="s">
        <v>220</v>
      </c>
      <c r="H513" s="1">
        <v>46037</v>
      </c>
      <c r="I513" t="s">
        <v>1308</v>
      </c>
      <c r="J513" t="s">
        <v>1311</v>
      </c>
      <c r="K513">
        <v>5</v>
      </c>
      <c r="L513">
        <v>0</v>
      </c>
      <c r="M513">
        <v>0</v>
      </c>
      <c r="N513">
        <v>0</v>
      </c>
      <c r="O513">
        <v>1</v>
      </c>
      <c r="P513">
        <v>0</v>
      </c>
      <c r="Q513">
        <v>1</v>
      </c>
      <c r="R513" t="s">
        <v>606</v>
      </c>
      <c r="S513" t="s">
        <v>1312</v>
      </c>
      <c r="T513" t="s">
        <v>305</v>
      </c>
      <c r="U513" t="s">
        <v>306</v>
      </c>
    </row>
    <row r="514" spans="1:21" hidden="1" x14ac:dyDescent="0.2">
      <c r="A514">
        <v>395</v>
      </c>
      <c r="B514" t="s">
        <v>106</v>
      </c>
      <c r="C514" t="s">
        <v>202</v>
      </c>
      <c r="D514" t="s">
        <v>1313</v>
      </c>
      <c r="E514" t="s">
        <v>62</v>
      </c>
      <c r="F514" t="s">
        <v>85</v>
      </c>
      <c r="G514" t="s">
        <v>220</v>
      </c>
      <c r="H514" s="1">
        <v>46037</v>
      </c>
      <c r="I514" t="s">
        <v>471</v>
      </c>
      <c r="J514" t="s">
        <v>1314</v>
      </c>
      <c r="K514">
        <v>5</v>
      </c>
      <c r="L514">
        <v>1</v>
      </c>
      <c r="M514">
        <v>1</v>
      </c>
      <c r="N514">
        <v>1</v>
      </c>
      <c r="O514">
        <v>1</v>
      </c>
      <c r="P514">
        <v>1</v>
      </c>
      <c r="Q514">
        <v>1</v>
      </c>
      <c r="R514" t="s">
        <v>202</v>
      </c>
      <c r="S514" t="s">
        <v>1153</v>
      </c>
      <c r="T514" t="s">
        <v>309</v>
      </c>
      <c r="U514" t="s">
        <v>310</v>
      </c>
    </row>
    <row r="515" spans="1:21" hidden="1" x14ac:dyDescent="0.2">
      <c r="A515">
        <v>395</v>
      </c>
      <c r="B515" t="s">
        <v>106</v>
      </c>
      <c r="C515" t="s">
        <v>202</v>
      </c>
      <c r="D515" t="s">
        <v>1313</v>
      </c>
      <c r="E515" t="s">
        <v>62</v>
      </c>
      <c r="F515" t="s">
        <v>87</v>
      </c>
      <c r="G515" t="s">
        <v>220</v>
      </c>
      <c r="H515" s="1">
        <v>46037</v>
      </c>
      <c r="I515" t="s">
        <v>471</v>
      </c>
      <c r="J515" t="s">
        <v>1314</v>
      </c>
      <c r="K515">
        <v>5</v>
      </c>
      <c r="L515">
        <v>1</v>
      </c>
      <c r="M515">
        <v>1</v>
      </c>
      <c r="N515">
        <v>1</v>
      </c>
      <c r="O515">
        <v>1</v>
      </c>
      <c r="P515">
        <v>1</v>
      </c>
      <c r="Q515">
        <v>1</v>
      </c>
      <c r="R515" t="s">
        <v>202</v>
      </c>
      <c r="S515" t="s">
        <v>1153</v>
      </c>
      <c r="T515" t="s">
        <v>283</v>
      </c>
      <c r="U515" t="s">
        <v>315</v>
      </c>
    </row>
    <row r="516" spans="1:21" hidden="1" x14ac:dyDescent="0.2">
      <c r="A516">
        <v>395</v>
      </c>
      <c r="B516" t="s">
        <v>106</v>
      </c>
      <c r="C516" t="s">
        <v>202</v>
      </c>
      <c r="D516" t="s">
        <v>1313</v>
      </c>
      <c r="E516" t="s">
        <v>62</v>
      </c>
      <c r="F516" t="s">
        <v>89</v>
      </c>
      <c r="G516" t="s">
        <v>220</v>
      </c>
      <c r="H516" s="1">
        <v>46037</v>
      </c>
      <c r="I516" t="s">
        <v>471</v>
      </c>
      <c r="J516" t="s">
        <v>1314</v>
      </c>
      <c r="K516">
        <v>5</v>
      </c>
      <c r="L516">
        <v>1</v>
      </c>
      <c r="M516">
        <v>1</v>
      </c>
      <c r="N516">
        <v>1</v>
      </c>
      <c r="O516">
        <v>1</v>
      </c>
      <c r="P516">
        <v>1</v>
      </c>
      <c r="Q516">
        <v>1</v>
      </c>
      <c r="R516" t="s">
        <v>202</v>
      </c>
      <c r="S516" t="s">
        <v>1153</v>
      </c>
      <c r="T516" t="s">
        <v>319</v>
      </c>
      <c r="U516" t="s">
        <v>320</v>
      </c>
    </row>
    <row r="517" spans="1:21" hidden="1" x14ac:dyDescent="0.2">
      <c r="A517">
        <v>395</v>
      </c>
      <c r="B517" t="s">
        <v>106</v>
      </c>
      <c r="C517" t="s">
        <v>202</v>
      </c>
      <c r="D517" t="s">
        <v>1313</v>
      </c>
      <c r="E517" t="s">
        <v>62</v>
      </c>
      <c r="F517" t="s">
        <v>390</v>
      </c>
      <c r="G517" t="s">
        <v>220</v>
      </c>
      <c r="H517" s="1">
        <v>46037</v>
      </c>
      <c r="I517" t="s">
        <v>471</v>
      </c>
      <c r="J517" t="s">
        <v>1314</v>
      </c>
      <c r="K517">
        <v>5</v>
      </c>
      <c r="L517">
        <v>1</v>
      </c>
      <c r="M517">
        <v>1</v>
      </c>
      <c r="N517">
        <v>1</v>
      </c>
      <c r="O517">
        <v>1</v>
      </c>
      <c r="P517">
        <v>1</v>
      </c>
      <c r="Q517">
        <v>1</v>
      </c>
      <c r="R517" t="s">
        <v>202</v>
      </c>
      <c r="S517" t="s">
        <v>1153</v>
      </c>
      <c r="T517" t="s">
        <v>322</v>
      </c>
      <c r="U517" t="s">
        <v>323</v>
      </c>
    </row>
  </sheetData>
  <phoneticPr fontId="2" type="noConversion"/>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zoomScale="125" zoomScaleNormal="125" workbookViewId="0">
      <selection activeCell="C17" sqref="C17"/>
    </sheetView>
  </sheetViews>
  <sheetFormatPr baseColWidth="10" defaultRowHeight="15" x14ac:dyDescent="0.2"/>
  <cols>
    <col min="1" max="1" width="15.83203125" bestFit="1" customWidth="1"/>
    <col min="2" max="2" width="11.5" bestFit="1" customWidth="1"/>
  </cols>
  <sheetData>
    <row r="1" spans="1:2" x14ac:dyDescent="0.2">
      <c r="A1" s="4" t="s">
        <v>1116</v>
      </c>
      <c r="B1" t="s">
        <v>1118</v>
      </c>
    </row>
    <row r="2" spans="1:2" x14ac:dyDescent="0.2">
      <c r="A2" s="5" t="s">
        <v>36</v>
      </c>
      <c r="B2">
        <v>14</v>
      </c>
    </row>
    <row r="3" spans="1:2" x14ac:dyDescent="0.2">
      <c r="A3" s="5" t="s">
        <v>55</v>
      </c>
      <c r="B3">
        <v>4</v>
      </c>
    </row>
    <row r="4" spans="1:2" x14ac:dyDescent="0.2">
      <c r="A4" s="5" t="s">
        <v>220</v>
      </c>
      <c r="B4">
        <v>95</v>
      </c>
    </row>
    <row r="5" spans="1:2" x14ac:dyDescent="0.2">
      <c r="A5" s="5" t="s">
        <v>47</v>
      </c>
      <c r="B5">
        <v>53</v>
      </c>
    </row>
    <row r="6" spans="1:2" x14ac:dyDescent="0.2">
      <c r="A6" s="5" t="s">
        <v>200</v>
      </c>
      <c r="B6">
        <v>20</v>
      </c>
    </row>
    <row r="7" spans="1:2" x14ac:dyDescent="0.2">
      <c r="A7" s="5" t="s">
        <v>210</v>
      </c>
      <c r="B7">
        <v>35</v>
      </c>
    </row>
    <row r="8" spans="1:2" x14ac:dyDescent="0.2">
      <c r="A8" s="5" t="s">
        <v>17</v>
      </c>
      <c r="B8">
        <v>241</v>
      </c>
    </row>
    <row r="9" spans="1:2" x14ac:dyDescent="0.2">
      <c r="A9" s="5" t="s">
        <v>1117</v>
      </c>
      <c r="B9">
        <v>462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2026-02-12T15:28:30Z</dcterms:modified>
</cp:coreProperties>
</file>